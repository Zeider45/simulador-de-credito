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dgar.sandoval\Documents\PenDrive\Banco Municipal\Año 2026\"/>
    </mc:Choice>
  </mc:AlternateContent>
  <bookViews>
    <workbookView xWindow="0" yWindow="0" windowWidth="23040" windowHeight="9072" activeTab="1"/>
  </bookViews>
  <sheets>
    <sheet name="Nayrobis Bolivar" sheetId="2" r:id="rId1"/>
    <sheet name="Nayrobis Bolivar 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65" i="1" l="1"/>
  <c r="L10" i="1"/>
  <c r="K10" i="1"/>
  <c r="L168" i="1" l="1"/>
  <c r="L163" i="1"/>
  <c r="L162" i="1"/>
  <c r="L161" i="1"/>
  <c r="L160" i="1"/>
  <c r="L159" i="1"/>
  <c r="L158" i="1"/>
  <c r="K168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L144" i="1"/>
  <c r="K144" i="1"/>
  <c r="F144" i="1"/>
  <c r="G144" i="1" s="1"/>
  <c r="C144" i="1" s="1"/>
  <c r="D144" i="1"/>
  <c r="C142" i="1"/>
  <c r="C141" i="1"/>
  <c r="G141" i="1"/>
  <c r="F141" i="1"/>
  <c r="D141" i="1"/>
  <c r="L142" i="1"/>
  <c r="K142" i="1"/>
  <c r="N141" i="1"/>
  <c r="O141" i="1"/>
  <c r="K140" i="1"/>
  <c r="K141" i="1" s="1"/>
  <c r="K143" i="1" s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L122" i="1"/>
  <c r="K122" i="1"/>
  <c r="D122" i="1"/>
  <c r="F122" i="1"/>
  <c r="D119" i="1"/>
  <c r="G119" i="1" s="1"/>
  <c r="C119" i="1" s="1"/>
  <c r="C120" i="1" s="1"/>
  <c r="F119" i="1"/>
  <c r="L120" i="1"/>
  <c r="N119" i="1"/>
  <c r="L101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O119" i="1"/>
  <c r="K120" i="1"/>
  <c r="F101" i="1"/>
  <c r="F77" i="1"/>
  <c r="C74" i="1"/>
  <c r="N98" i="1"/>
  <c r="G77" i="1"/>
  <c r="C77" i="1" s="1"/>
  <c r="G56" i="1"/>
  <c r="G101" i="1"/>
  <c r="J101" i="1" s="1"/>
  <c r="D101" i="1"/>
  <c r="L99" i="1"/>
  <c r="K99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C99" i="1"/>
  <c r="C98" i="1"/>
  <c r="G98" i="1"/>
  <c r="F98" i="1"/>
  <c r="D98" i="1"/>
  <c r="F74" i="1"/>
  <c r="D74" i="1"/>
  <c r="F53" i="1"/>
  <c r="D53" i="1"/>
  <c r="D56" i="1" s="1"/>
  <c r="F32" i="1"/>
  <c r="D32" i="1"/>
  <c r="O98" i="1"/>
  <c r="O73" i="1"/>
  <c r="L75" i="1"/>
  <c r="D77" i="1"/>
  <c r="K77" i="1" s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 s="1"/>
  <c r="K57" i="1"/>
  <c r="N74" i="1"/>
  <c r="A141" i="1" l="1"/>
  <c r="K119" i="1"/>
  <c r="K121" i="1" s="1"/>
  <c r="C101" i="1"/>
  <c r="A98" i="1" s="1"/>
  <c r="G74" i="1"/>
  <c r="C75" i="1" s="1"/>
  <c r="D75" i="1"/>
  <c r="G53" i="1"/>
  <c r="C53" i="1" s="1"/>
  <c r="C54" i="1" s="1"/>
  <c r="D54" i="1"/>
  <c r="K98" i="1"/>
  <c r="K100" i="1" s="1"/>
  <c r="F31" i="2"/>
  <c r="G31" i="2" s="1"/>
  <c r="G156" i="2"/>
  <c r="J156" i="2" s="1"/>
  <c r="G155" i="2"/>
  <c r="J155" i="2" s="1"/>
  <c r="G154" i="2"/>
  <c r="J154" i="2" s="1"/>
  <c r="G153" i="2"/>
  <c r="J153" i="2" s="1"/>
  <c r="G152" i="2"/>
  <c r="J152" i="2" s="1"/>
  <c r="G151" i="2"/>
  <c r="J151" i="2" s="1"/>
  <c r="G150" i="2"/>
  <c r="J150" i="2" s="1"/>
  <c r="G149" i="2"/>
  <c r="J149" i="2" s="1"/>
  <c r="G148" i="2"/>
  <c r="J148" i="2" s="1"/>
  <c r="G147" i="2"/>
  <c r="J147" i="2" s="1"/>
  <c r="G146" i="2"/>
  <c r="J146" i="2" s="1"/>
  <c r="G145" i="2"/>
  <c r="J145" i="2" s="1"/>
  <c r="G144" i="2"/>
  <c r="J144" i="2" s="1"/>
  <c r="G143" i="2"/>
  <c r="J143" i="2" s="1"/>
  <c r="G142" i="2"/>
  <c r="J142" i="2" s="1"/>
  <c r="G141" i="2"/>
  <c r="J141" i="2" s="1"/>
  <c r="G140" i="2"/>
  <c r="J140" i="2" s="1"/>
  <c r="G139" i="2"/>
  <c r="J139" i="2" s="1"/>
  <c r="G138" i="2"/>
  <c r="J138" i="2" s="1"/>
  <c r="G137" i="2"/>
  <c r="J137" i="2" s="1"/>
  <c r="G136" i="2"/>
  <c r="J136" i="2" s="1"/>
  <c r="G135" i="2"/>
  <c r="J135" i="2" s="1"/>
  <c r="G134" i="2"/>
  <c r="J134" i="2" s="1"/>
  <c r="G133" i="2"/>
  <c r="J133" i="2" s="1"/>
  <c r="G132" i="2"/>
  <c r="J132" i="2" s="1"/>
  <c r="G131" i="2"/>
  <c r="J131" i="2" s="1"/>
  <c r="G130" i="2"/>
  <c r="J130" i="2" s="1"/>
  <c r="G129" i="2"/>
  <c r="J129" i="2" s="1"/>
  <c r="G128" i="2"/>
  <c r="J128" i="2" s="1"/>
  <c r="G127" i="2"/>
  <c r="J127" i="2" s="1"/>
  <c r="G126" i="2"/>
  <c r="J126" i="2" s="1"/>
  <c r="G125" i="2"/>
  <c r="J125" i="2" s="1"/>
  <c r="G124" i="2"/>
  <c r="J124" i="2" s="1"/>
  <c r="G123" i="2"/>
  <c r="J123" i="2" s="1"/>
  <c r="G122" i="2"/>
  <c r="J122" i="2" s="1"/>
  <c r="G121" i="2"/>
  <c r="J121" i="2" s="1"/>
  <c r="G120" i="2"/>
  <c r="J120" i="2" s="1"/>
  <c r="G119" i="2"/>
  <c r="J119" i="2" s="1"/>
  <c r="G118" i="2"/>
  <c r="J118" i="2" s="1"/>
  <c r="G117" i="2"/>
  <c r="J117" i="2" s="1"/>
  <c r="G116" i="2"/>
  <c r="J116" i="2" s="1"/>
  <c r="G115" i="2"/>
  <c r="J115" i="2" s="1"/>
  <c r="G114" i="2"/>
  <c r="J114" i="2" s="1"/>
  <c r="G113" i="2"/>
  <c r="J113" i="2" s="1"/>
  <c r="G112" i="2"/>
  <c r="J112" i="2" s="1"/>
  <c r="G111" i="2"/>
  <c r="J111" i="2" s="1"/>
  <c r="G110" i="2"/>
  <c r="J110" i="2" s="1"/>
  <c r="G109" i="2"/>
  <c r="J109" i="2" s="1"/>
  <c r="G108" i="2"/>
  <c r="J108" i="2" s="1"/>
  <c r="G107" i="2"/>
  <c r="J107" i="2" s="1"/>
  <c r="G106" i="2"/>
  <c r="J106" i="2" s="1"/>
  <c r="G105" i="2"/>
  <c r="J105" i="2" s="1"/>
  <c r="G104" i="2"/>
  <c r="J104" i="2" s="1"/>
  <c r="G103" i="2"/>
  <c r="J103" i="2" s="1"/>
  <c r="G102" i="2"/>
  <c r="J102" i="2" s="1"/>
  <c r="G101" i="2"/>
  <c r="J101" i="2" s="1"/>
  <c r="G100" i="2"/>
  <c r="J100" i="2" s="1"/>
  <c r="G99" i="2"/>
  <c r="J99" i="2" s="1"/>
  <c r="G98" i="2"/>
  <c r="J98" i="2" s="1"/>
  <c r="G97" i="2"/>
  <c r="J97" i="2" s="1"/>
  <c r="G96" i="2"/>
  <c r="J96" i="2" s="1"/>
  <c r="G95" i="2"/>
  <c r="J95" i="2" s="1"/>
  <c r="G94" i="2"/>
  <c r="J94" i="2" s="1"/>
  <c r="G93" i="2"/>
  <c r="J93" i="2" s="1"/>
  <c r="G92" i="2"/>
  <c r="J92" i="2" s="1"/>
  <c r="G91" i="2"/>
  <c r="J91" i="2" s="1"/>
  <c r="G90" i="2"/>
  <c r="J90" i="2" s="1"/>
  <c r="G89" i="2"/>
  <c r="J89" i="2" s="1"/>
  <c r="G88" i="2"/>
  <c r="J88" i="2" s="1"/>
  <c r="G87" i="2"/>
  <c r="J87" i="2" s="1"/>
  <c r="G86" i="2"/>
  <c r="J86" i="2" s="1"/>
  <c r="G85" i="2"/>
  <c r="J85" i="2" s="1"/>
  <c r="G84" i="2"/>
  <c r="J84" i="2" s="1"/>
  <c r="G83" i="2"/>
  <c r="J83" i="2" s="1"/>
  <c r="G82" i="2"/>
  <c r="J82" i="2" s="1"/>
  <c r="G81" i="2"/>
  <c r="J81" i="2" s="1"/>
  <c r="G80" i="2"/>
  <c r="J80" i="2" s="1"/>
  <c r="G79" i="2"/>
  <c r="J79" i="2" s="1"/>
  <c r="G78" i="2"/>
  <c r="J78" i="2" s="1"/>
  <c r="G77" i="2"/>
  <c r="J77" i="2" s="1"/>
  <c r="G76" i="2"/>
  <c r="J76" i="2" s="1"/>
  <c r="G75" i="2"/>
  <c r="J75" i="2" s="1"/>
  <c r="G74" i="2"/>
  <c r="J74" i="2" s="1"/>
  <c r="G73" i="2"/>
  <c r="J73" i="2" s="1"/>
  <c r="G72" i="2"/>
  <c r="J72" i="2" s="1"/>
  <c r="G71" i="2"/>
  <c r="J71" i="2" s="1"/>
  <c r="G70" i="2"/>
  <c r="J70" i="2" s="1"/>
  <c r="G69" i="2"/>
  <c r="J69" i="2" s="1"/>
  <c r="G68" i="2"/>
  <c r="J68" i="2" s="1"/>
  <c r="G67" i="2"/>
  <c r="J67" i="2" s="1"/>
  <c r="G66" i="2"/>
  <c r="J66" i="2" s="1"/>
  <c r="G65" i="2"/>
  <c r="J65" i="2" s="1"/>
  <c r="G64" i="2"/>
  <c r="J64" i="2" s="1"/>
  <c r="G63" i="2"/>
  <c r="J63" i="2" s="1"/>
  <c r="G62" i="2"/>
  <c r="J62" i="2" s="1"/>
  <c r="G61" i="2"/>
  <c r="J61" i="2" s="1"/>
  <c r="G60" i="2"/>
  <c r="J60" i="2" s="1"/>
  <c r="G59" i="2"/>
  <c r="J59" i="2" s="1"/>
  <c r="G58" i="2"/>
  <c r="J58" i="2" s="1"/>
  <c r="G57" i="2"/>
  <c r="J57" i="2" s="1"/>
  <c r="G56" i="2"/>
  <c r="J56" i="2" s="1"/>
  <c r="G55" i="2"/>
  <c r="J55" i="2" s="1"/>
  <c r="G54" i="2"/>
  <c r="J54" i="2" s="1"/>
  <c r="G53" i="2"/>
  <c r="J53" i="2" s="1"/>
  <c r="G52" i="2"/>
  <c r="J52" i="2" s="1"/>
  <c r="G51" i="2"/>
  <c r="J51" i="2" s="1"/>
  <c r="G50" i="2"/>
  <c r="J50" i="2" s="1"/>
  <c r="F48" i="2"/>
  <c r="G48" i="2" s="1"/>
  <c r="J48" i="2" s="1"/>
  <c r="F30" i="2"/>
  <c r="F29" i="2"/>
  <c r="G29" i="2" s="1"/>
  <c r="J29" i="2" s="1"/>
  <c r="F28" i="2"/>
  <c r="F27" i="2"/>
  <c r="G27" i="2" s="1"/>
  <c r="J27" i="2" s="1"/>
  <c r="F26" i="2"/>
  <c r="G26" i="2" s="1"/>
  <c r="J26" i="2" s="1"/>
  <c r="F25" i="2"/>
  <c r="G25" i="2" s="1"/>
  <c r="J25" i="2" s="1"/>
  <c r="F24" i="2"/>
  <c r="F23" i="2"/>
  <c r="G23" i="2" s="1"/>
  <c r="J23" i="2" s="1"/>
  <c r="F22" i="2"/>
  <c r="F21" i="2"/>
  <c r="F20" i="2"/>
  <c r="G20" i="2" s="1"/>
  <c r="J20" i="2" s="1"/>
  <c r="F19" i="2"/>
  <c r="G19" i="2" s="1"/>
  <c r="J19" i="2" s="1"/>
  <c r="F18" i="2"/>
  <c r="G18" i="2" s="1"/>
  <c r="J18" i="2" s="1"/>
  <c r="F17" i="2"/>
  <c r="G17" i="2" s="1"/>
  <c r="J17" i="2" s="1"/>
  <c r="F16" i="2"/>
  <c r="F15" i="2"/>
  <c r="G15" i="2" s="1"/>
  <c r="J15" i="2" s="1"/>
  <c r="F14" i="2"/>
  <c r="G14" i="2" s="1"/>
  <c r="J14" i="2" s="1"/>
  <c r="F13" i="2"/>
  <c r="G13" i="2" s="1"/>
  <c r="J13" i="2" s="1"/>
  <c r="F12" i="2"/>
  <c r="F11" i="2"/>
  <c r="G11" i="2" s="1"/>
  <c r="J11" i="2" s="1"/>
  <c r="G9" i="2"/>
  <c r="C9" i="2" s="1"/>
  <c r="F10" i="2" s="1"/>
  <c r="G10" i="2" s="1"/>
  <c r="J10" i="2" s="1"/>
  <c r="E25" i="2" l="1"/>
  <c r="E21" i="2"/>
  <c r="G24" i="2"/>
  <c r="J24" i="2" s="1"/>
  <c r="E12" i="2"/>
  <c r="F39" i="2"/>
  <c r="G39" i="2" s="1"/>
  <c r="J39" i="2" s="1"/>
  <c r="J9" i="2"/>
  <c r="E17" i="2"/>
  <c r="G21" i="2"/>
  <c r="J21" i="2" s="1"/>
  <c r="G28" i="2"/>
  <c r="J28" i="2" s="1"/>
  <c r="F50" i="2"/>
  <c r="F54" i="2"/>
  <c r="F58" i="2"/>
  <c r="F62" i="2"/>
  <c r="F66" i="2"/>
  <c r="F70" i="2"/>
  <c r="F74" i="2"/>
  <c r="F78" i="2"/>
  <c r="F82" i="2"/>
  <c r="F86" i="2"/>
  <c r="F90" i="2"/>
  <c r="F94" i="2"/>
  <c r="F98" i="2"/>
  <c r="F102" i="2"/>
  <c r="F106" i="2"/>
  <c r="F110" i="2"/>
  <c r="F114" i="2"/>
  <c r="F118" i="2"/>
  <c r="F122" i="2"/>
  <c r="F126" i="2"/>
  <c r="F130" i="2"/>
  <c r="F134" i="2"/>
  <c r="F138" i="2"/>
  <c r="F142" i="2"/>
  <c r="F146" i="2"/>
  <c r="F150" i="2"/>
  <c r="F154" i="2"/>
  <c r="E30" i="2"/>
  <c r="F47" i="2"/>
  <c r="G47" i="2" s="1"/>
  <c r="J47" i="2" s="1"/>
  <c r="E13" i="2"/>
  <c r="E26" i="2"/>
  <c r="G30" i="2"/>
  <c r="J30" i="2" s="1"/>
  <c r="F35" i="2"/>
  <c r="E16" i="2"/>
  <c r="E22" i="2"/>
  <c r="G16" i="2"/>
  <c r="J16" i="2" s="1"/>
  <c r="E18" i="2"/>
  <c r="G22" i="2"/>
  <c r="J22" i="2" s="1"/>
  <c r="E29" i="2"/>
  <c r="F32" i="2"/>
  <c r="E32" i="2" s="1"/>
  <c r="F43" i="2"/>
  <c r="F52" i="2"/>
  <c r="F56" i="2"/>
  <c r="F60" i="2"/>
  <c r="F64" i="2"/>
  <c r="F68" i="2"/>
  <c r="F72" i="2"/>
  <c r="F76" i="2"/>
  <c r="F80" i="2"/>
  <c r="E80" i="2" s="1"/>
  <c r="F84" i="2"/>
  <c r="F88" i="2"/>
  <c r="F92" i="2"/>
  <c r="F96" i="2"/>
  <c r="F100" i="2"/>
  <c r="F104" i="2"/>
  <c r="F108" i="2"/>
  <c r="F112" i="2"/>
  <c r="F116" i="2"/>
  <c r="F120" i="2"/>
  <c r="F124" i="2"/>
  <c r="F128" i="2"/>
  <c r="F132" i="2"/>
  <c r="F136" i="2"/>
  <c r="F140" i="2"/>
  <c r="F144" i="2"/>
  <c r="F148" i="2"/>
  <c r="F152" i="2"/>
  <c r="F156" i="2"/>
  <c r="G12" i="2"/>
  <c r="J12" i="2" s="1"/>
  <c r="E14" i="2"/>
  <c r="E10" i="2"/>
  <c r="J31" i="2"/>
  <c r="F51" i="2"/>
  <c r="E51" i="2" s="1"/>
  <c r="F53" i="2"/>
  <c r="E54" i="2" s="1"/>
  <c r="F55" i="2"/>
  <c r="F57" i="2"/>
  <c r="F59" i="2"/>
  <c r="F61" i="2"/>
  <c r="F63" i="2"/>
  <c r="F65" i="2"/>
  <c r="E65" i="2" s="1"/>
  <c r="F67" i="2"/>
  <c r="F69" i="2"/>
  <c r="F71" i="2"/>
  <c r="F73" i="2"/>
  <c r="F75" i="2"/>
  <c r="F77" i="2"/>
  <c r="F79" i="2"/>
  <c r="F81" i="2"/>
  <c r="F83" i="2"/>
  <c r="E83" i="2" s="1"/>
  <c r="F85" i="2"/>
  <c r="F87" i="2"/>
  <c r="F89" i="2"/>
  <c r="F91" i="2"/>
  <c r="F93" i="2"/>
  <c r="F95" i="2"/>
  <c r="F97" i="2"/>
  <c r="E97" i="2" s="1"/>
  <c r="F99" i="2"/>
  <c r="F101" i="2"/>
  <c r="F103" i="2"/>
  <c r="F105" i="2"/>
  <c r="F107" i="2"/>
  <c r="F109" i="2"/>
  <c r="F111" i="2"/>
  <c r="F113" i="2"/>
  <c r="F115" i="2"/>
  <c r="E115" i="2" s="1"/>
  <c r="F117" i="2"/>
  <c r="E118" i="2" s="1"/>
  <c r="F119" i="2"/>
  <c r="F121" i="2"/>
  <c r="F123" i="2"/>
  <c r="F125" i="2"/>
  <c r="F127" i="2"/>
  <c r="F129" i="2"/>
  <c r="E129" i="2" s="1"/>
  <c r="F131" i="2"/>
  <c r="E132" i="2" s="1"/>
  <c r="F133" i="2"/>
  <c r="F135" i="2"/>
  <c r="F137" i="2"/>
  <c r="F139" i="2"/>
  <c r="F141" i="2"/>
  <c r="F143" i="2"/>
  <c r="F145" i="2"/>
  <c r="F147" i="2"/>
  <c r="E147" i="2" s="1"/>
  <c r="F149" i="2"/>
  <c r="E150" i="2" s="1"/>
  <c r="F151" i="2"/>
  <c r="F153" i="2"/>
  <c r="F155" i="2"/>
  <c r="E20" i="2"/>
  <c r="E24" i="2"/>
  <c r="E28" i="2"/>
  <c r="F34" i="2"/>
  <c r="G34" i="2" s="1"/>
  <c r="J34" i="2" s="1"/>
  <c r="F38" i="2"/>
  <c r="G38" i="2" s="1"/>
  <c r="J38" i="2" s="1"/>
  <c r="F42" i="2"/>
  <c r="F46" i="2"/>
  <c r="E11" i="2"/>
  <c r="E15" i="2"/>
  <c r="E19" i="2"/>
  <c r="E23" i="2"/>
  <c r="E27" i="2"/>
  <c r="F33" i="2"/>
  <c r="F37" i="2"/>
  <c r="G37" i="2" s="1"/>
  <c r="J37" i="2" s="1"/>
  <c r="F41" i="2"/>
  <c r="G41" i="2" s="1"/>
  <c r="J41" i="2" s="1"/>
  <c r="F45" i="2"/>
  <c r="G45" i="2" s="1"/>
  <c r="J45" i="2" s="1"/>
  <c r="F49" i="2"/>
  <c r="F36" i="2"/>
  <c r="G36" i="2" s="1"/>
  <c r="J36" i="2" s="1"/>
  <c r="F40" i="2"/>
  <c r="G40" i="2" s="1"/>
  <c r="J40" i="2" s="1"/>
  <c r="F44" i="2"/>
  <c r="G44" i="2" s="1"/>
  <c r="J44" i="2" s="1"/>
  <c r="N53" i="1"/>
  <c r="E143" i="2" l="1"/>
  <c r="E111" i="2"/>
  <c r="E79" i="2"/>
  <c r="E78" i="2"/>
  <c r="E105" i="2"/>
  <c r="E73" i="2"/>
  <c r="E137" i="2"/>
  <c r="E151" i="2"/>
  <c r="E119" i="2"/>
  <c r="E87" i="2"/>
  <c r="E55" i="2"/>
  <c r="E76" i="2"/>
  <c r="E43" i="2"/>
  <c r="E35" i="2"/>
  <c r="E125" i="2"/>
  <c r="E93" i="2"/>
  <c r="E61" i="2"/>
  <c r="E139" i="2"/>
  <c r="E107" i="2"/>
  <c r="E75" i="2"/>
  <c r="E95" i="2"/>
  <c r="E63" i="2"/>
  <c r="E127" i="2"/>
  <c r="E141" i="2"/>
  <c r="E109" i="2"/>
  <c r="G35" i="2"/>
  <c r="J35" i="2" s="1"/>
  <c r="E155" i="2"/>
  <c r="E123" i="2"/>
  <c r="E91" i="2"/>
  <c r="E59" i="2"/>
  <c r="E39" i="2"/>
  <c r="E52" i="2"/>
  <c r="G32" i="2"/>
  <c r="J32" i="2" s="1"/>
  <c r="E50" i="2"/>
  <c r="E145" i="2"/>
  <c r="E113" i="2"/>
  <c r="E81" i="2"/>
  <c r="G43" i="2"/>
  <c r="J43" i="2" s="1"/>
  <c r="E48" i="2"/>
  <c r="E47" i="2"/>
  <c r="E153" i="2"/>
  <c r="E121" i="2"/>
  <c r="E89" i="2"/>
  <c r="E57" i="2"/>
  <c r="E124" i="2"/>
  <c r="E142" i="2"/>
  <c r="E103" i="2"/>
  <c r="E71" i="2"/>
  <c r="E114" i="2"/>
  <c r="E112" i="2"/>
  <c r="E149" i="2"/>
  <c r="E133" i="2"/>
  <c r="E117" i="2"/>
  <c r="E101" i="2"/>
  <c r="E85" i="2"/>
  <c r="E69" i="2"/>
  <c r="E53" i="2"/>
  <c r="E96" i="2"/>
  <c r="E110" i="2"/>
  <c r="E135" i="2"/>
  <c r="E131" i="2"/>
  <c r="E99" i="2"/>
  <c r="E67" i="2"/>
  <c r="E128" i="2"/>
  <c r="E92" i="2"/>
  <c r="E86" i="2"/>
  <c r="E82" i="2"/>
  <c r="E77" i="2"/>
  <c r="E156" i="2"/>
  <c r="E146" i="2"/>
  <c r="E33" i="2"/>
  <c r="E90" i="2"/>
  <c r="E120" i="2"/>
  <c r="E116" i="2"/>
  <c r="E84" i="2"/>
  <c r="E74" i="2"/>
  <c r="E40" i="2"/>
  <c r="E45" i="2"/>
  <c r="E72" i="2"/>
  <c r="E144" i="2"/>
  <c r="E108" i="2"/>
  <c r="E68" i="2"/>
  <c r="E134" i="2"/>
  <c r="E102" i="2"/>
  <c r="E70" i="2"/>
  <c r="E46" i="2"/>
  <c r="E154" i="2"/>
  <c r="E58" i="2"/>
  <c r="E42" i="2"/>
  <c r="E88" i="2"/>
  <c r="G33" i="2"/>
  <c r="J33" i="2" s="1"/>
  <c r="E34" i="2"/>
  <c r="E152" i="2"/>
  <c r="E49" i="2"/>
  <c r="E148" i="2"/>
  <c r="E138" i="2"/>
  <c r="E106" i="2"/>
  <c r="E36" i="2"/>
  <c r="E41" i="2"/>
  <c r="G46" i="2"/>
  <c r="J46" i="2" s="1"/>
  <c r="E64" i="2"/>
  <c r="E140" i="2"/>
  <c r="E104" i="2"/>
  <c r="E60" i="2"/>
  <c r="E130" i="2"/>
  <c r="E98" i="2"/>
  <c r="E66" i="2"/>
  <c r="E122" i="2"/>
  <c r="E38" i="2"/>
  <c r="E44" i="2"/>
  <c r="G49" i="2"/>
  <c r="J49" i="2" s="1"/>
  <c r="E37" i="2"/>
  <c r="G42" i="2"/>
  <c r="J42" i="2" s="1"/>
  <c r="E56" i="2"/>
  <c r="E136" i="2"/>
  <c r="E100" i="2"/>
  <c r="E126" i="2"/>
  <c r="E94" i="2"/>
  <c r="E62" i="2"/>
  <c r="L54" i="1"/>
  <c r="K54" i="1"/>
  <c r="O51" i="1"/>
  <c r="K56" i="1"/>
  <c r="K52" i="1"/>
  <c r="K53" i="1" s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8" i="1"/>
  <c r="G169" i="1"/>
  <c r="G170" i="1"/>
  <c r="G171" i="1"/>
  <c r="G172" i="1"/>
  <c r="G173" i="1"/>
  <c r="G174" i="1"/>
  <c r="G175" i="1"/>
  <c r="G176" i="1"/>
  <c r="G177" i="1"/>
  <c r="G178" i="1"/>
  <c r="D35" i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G32" i="1"/>
  <c r="C32" i="1" s="1"/>
  <c r="C33" i="1" s="1"/>
  <c r="L33" i="1"/>
  <c r="O30" i="1"/>
  <c r="N33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F48" i="1" l="1"/>
  <c r="G48" i="1" s="1"/>
  <c r="F56" i="1"/>
  <c r="L77" i="1"/>
  <c r="F44" i="1"/>
  <c r="G44" i="1" s="1"/>
  <c r="F49" i="1"/>
  <c r="G49" i="1" s="1"/>
  <c r="F52" i="1"/>
  <c r="F35" i="1"/>
  <c r="G35" i="1" s="1"/>
  <c r="C35" i="1" s="1"/>
  <c r="F36" i="1" s="1"/>
  <c r="G36" i="1" s="1"/>
  <c r="F41" i="1"/>
  <c r="G41" i="1" s="1"/>
  <c r="F42" i="1"/>
  <c r="L42" i="1" s="1"/>
  <c r="F50" i="1"/>
  <c r="L50" i="1" s="1"/>
  <c r="F43" i="1"/>
  <c r="G43" i="1" s="1"/>
  <c r="F51" i="1"/>
  <c r="G51" i="1" s="1"/>
  <c r="F37" i="1"/>
  <c r="L37" i="1" s="1"/>
  <c r="F45" i="1"/>
  <c r="L45" i="1" s="1"/>
  <c r="K55" i="1"/>
  <c r="K32" i="1"/>
  <c r="F38" i="1"/>
  <c r="L38" i="1" s="1"/>
  <c r="F46" i="1"/>
  <c r="G46" i="1" s="1"/>
  <c r="F39" i="1"/>
  <c r="G39" i="1" s="1"/>
  <c r="F47" i="1"/>
  <c r="G47" i="1" s="1"/>
  <c r="K35" i="1"/>
  <c r="F40" i="1"/>
  <c r="G40" i="1" s="1"/>
  <c r="K34" i="1" l="1"/>
  <c r="N16" i="1"/>
  <c r="L48" i="1"/>
  <c r="L40" i="1"/>
  <c r="L36" i="1"/>
  <c r="G38" i="1"/>
  <c r="G52" i="1"/>
  <c r="G42" i="1"/>
  <c r="L52" i="1"/>
  <c r="L53" i="1" s="1"/>
  <c r="L55" i="1" s="1"/>
  <c r="L44" i="1"/>
  <c r="L43" i="1"/>
  <c r="L49" i="1"/>
  <c r="G50" i="1"/>
  <c r="L51" i="1"/>
  <c r="L35" i="1"/>
  <c r="G37" i="1"/>
  <c r="L41" i="1"/>
  <c r="L47" i="1"/>
  <c r="G45" i="1"/>
  <c r="L39" i="1"/>
  <c r="L46" i="1"/>
  <c r="J36" i="1"/>
  <c r="L56" i="1" l="1"/>
  <c r="J35" i="1"/>
  <c r="C56" i="1" l="1"/>
  <c r="E36" i="1"/>
  <c r="J12" i="1"/>
  <c r="L30" i="1"/>
  <c r="L32" i="1" s="1"/>
  <c r="J14" i="1"/>
  <c r="J30" i="1"/>
  <c r="M35" i="1" s="1"/>
  <c r="J23" i="1"/>
  <c r="E23" i="1"/>
  <c r="J11" i="1"/>
  <c r="J17" i="1"/>
  <c r="J26" i="1"/>
  <c r="L26" i="1"/>
  <c r="J28" i="1"/>
  <c r="E28" i="1"/>
  <c r="J21" i="1"/>
  <c r="L21" i="1"/>
  <c r="E21" i="1"/>
  <c r="J22" i="1"/>
  <c r="E17" i="1"/>
  <c r="L17" i="1"/>
  <c r="E29" i="1"/>
  <c r="J29" i="1"/>
  <c r="L14" i="1"/>
  <c r="L19" i="1"/>
  <c r="J19" i="1"/>
  <c r="J25" i="1"/>
  <c r="L25" i="1"/>
  <c r="E24" i="1"/>
  <c r="J24" i="1"/>
  <c r="E12" i="1"/>
  <c r="L12" i="1"/>
  <c r="L15" i="1"/>
  <c r="J15" i="1"/>
  <c r="J18" i="1"/>
  <c r="E18" i="1"/>
  <c r="J16" i="1"/>
  <c r="L16" i="1"/>
  <c r="L11" i="1"/>
  <c r="J20" i="1"/>
  <c r="L20" i="1"/>
  <c r="J13" i="1"/>
  <c r="L13" i="1"/>
  <c r="E22" i="1"/>
  <c r="E27" i="1"/>
  <c r="J27" i="1"/>
  <c r="M36" i="1" l="1"/>
  <c r="L34" i="1"/>
  <c r="N17" i="1"/>
  <c r="N18" i="1" s="1"/>
  <c r="E26" i="1"/>
  <c r="L28" i="1"/>
  <c r="E14" i="1"/>
  <c r="E25" i="1"/>
  <c r="L24" i="1"/>
  <c r="L23" i="1"/>
  <c r="L22" i="1"/>
  <c r="E19" i="1"/>
  <c r="L27" i="1"/>
  <c r="E13" i="1"/>
  <c r="L29" i="1"/>
  <c r="E30" i="1"/>
  <c r="E20" i="1"/>
  <c r="E15" i="1"/>
  <c r="L18" i="1"/>
  <c r="E16" i="1"/>
  <c r="G9" i="1"/>
  <c r="J9" i="1" s="1"/>
  <c r="N20" i="1" l="1"/>
  <c r="M37" i="1"/>
  <c r="C9" i="1"/>
  <c r="F10" i="1" s="1"/>
  <c r="G10" i="1" s="1"/>
  <c r="J10" i="1" l="1"/>
  <c r="E10" i="1"/>
  <c r="E11" i="1"/>
  <c r="J79" i="1"/>
  <c r="J162" i="1"/>
  <c r="J156" i="1"/>
  <c r="J116" i="1"/>
  <c r="F111" i="1"/>
  <c r="L111" i="1" s="1"/>
  <c r="J111" i="1"/>
  <c r="J132" i="1"/>
  <c r="F132" i="1"/>
  <c r="L132" i="1" s="1"/>
  <c r="J97" i="1"/>
  <c r="M101" i="1" s="1"/>
  <c r="J85" i="1"/>
  <c r="J61" i="1"/>
  <c r="J82" i="1"/>
  <c r="J146" i="1"/>
  <c r="J164" i="1"/>
  <c r="J73" i="1"/>
  <c r="J158" i="1"/>
  <c r="J83" i="1"/>
  <c r="J104" i="1"/>
  <c r="J177" i="1"/>
  <c r="J86" i="1"/>
  <c r="J63" i="1"/>
  <c r="J127" i="1"/>
  <c r="F148" i="1"/>
  <c r="L148" i="1" s="1"/>
  <c r="J148" i="1"/>
  <c r="J170" i="1"/>
  <c r="J161" i="1"/>
  <c r="J95" i="1"/>
  <c r="J129" i="1"/>
  <c r="J66" i="1"/>
  <c r="F156" i="1"/>
  <c r="L156" i="1" s="1"/>
  <c r="J102" i="1"/>
  <c r="J134" i="1"/>
  <c r="J168" i="1"/>
  <c r="J114" i="1"/>
  <c r="F129" i="1"/>
  <c r="L129" i="1" s="1"/>
  <c r="F95" i="1"/>
  <c r="L95" i="1" s="1"/>
  <c r="F116" i="1"/>
  <c r="L116" i="1" s="1"/>
  <c r="F79" i="1"/>
  <c r="L79" i="1" s="1"/>
  <c r="J110" i="1"/>
  <c r="J131" i="1"/>
  <c r="F131" i="1"/>
  <c r="L131" i="1" s="1"/>
  <c r="F162" i="1"/>
  <c r="J107" i="1"/>
  <c r="F115" i="1"/>
  <c r="L115" i="1" s="1"/>
  <c r="J115" i="1"/>
  <c r="J60" i="1"/>
  <c r="F60" i="1"/>
  <c r="L60" i="1" s="1"/>
  <c r="J81" i="1"/>
  <c r="F81" i="1"/>
  <c r="L81" i="1" s="1"/>
  <c r="J144" i="1"/>
  <c r="F163" i="1"/>
  <c r="J163" i="1"/>
  <c r="F97" i="1"/>
  <c r="L97" i="1" s="1"/>
  <c r="L98" i="1" s="1"/>
  <c r="L100" i="1" s="1"/>
  <c r="J149" i="1"/>
  <c r="F108" i="1"/>
  <c r="L108" i="1" s="1"/>
  <c r="J108" i="1"/>
  <c r="F61" i="1"/>
  <c r="L61" i="1" s="1"/>
  <c r="J91" i="1"/>
  <c r="F112" i="1"/>
  <c r="L112" i="1" s="1"/>
  <c r="J112" i="1"/>
  <c r="F146" i="1"/>
  <c r="L146" i="1" s="1"/>
  <c r="J176" i="1"/>
  <c r="J96" i="1"/>
  <c r="F96" i="1"/>
  <c r="L96" i="1" s="1"/>
  <c r="F73" i="1"/>
  <c r="L73" i="1" s="1"/>
  <c r="L74" i="1" s="1"/>
  <c r="L76" i="1" s="1"/>
  <c r="J80" i="1"/>
  <c r="F83" i="1"/>
  <c r="L83" i="1" s="1"/>
  <c r="J113" i="1"/>
  <c r="F135" i="1"/>
  <c r="L135" i="1" s="1"/>
  <c r="J135" i="1"/>
  <c r="F177" i="1"/>
  <c r="F137" i="1"/>
  <c r="L137" i="1" s="1"/>
  <c r="J137" i="1"/>
  <c r="J72" i="1"/>
  <c r="J93" i="1"/>
  <c r="F93" i="1"/>
  <c r="L93" i="1" s="1"/>
  <c r="F127" i="1"/>
  <c r="L127" i="1" s="1"/>
  <c r="J157" i="1"/>
  <c r="J178" i="1"/>
  <c r="F178" i="1"/>
  <c r="F170" i="1"/>
  <c r="J138" i="1"/>
  <c r="F159" i="1"/>
  <c r="J159" i="1"/>
  <c r="J78" i="1"/>
  <c r="F109" i="1"/>
  <c r="L109" i="1" s="1"/>
  <c r="J109" i="1"/>
  <c r="J160" i="1"/>
  <c r="J152" i="1"/>
  <c r="F152" i="1"/>
  <c r="L152" i="1" s="1"/>
  <c r="F78" i="1"/>
  <c r="L78" i="1" s="1"/>
  <c r="F164" i="1"/>
  <c r="L164" i="1" s="1"/>
  <c r="F59" i="1"/>
  <c r="L59" i="1" s="1"/>
  <c r="J59" i="1"/>
  <c r="F110" i="1"/>
  <c r="L110" i="1" s="1"/>
  <c r="J140" i="1"/>
  <c r="F140" i="1"/>
  <c r="L140" i="1" s="1"/>
  <c r="L141" i="1" s="1"/>
  <c r="L143" i="1" s="1"/>
  <c r="F107" i="1"/>
  <c r="L107" i="1" s="1"/>
  <c r="F90" i="1"/>
  <c r="L90" i="1" s="1"/>
  <c r="J90" i="1"/>
  <c r="J175" i="1"/>
  <c r="F149" i="1"/>
  <c r="L149" i="1" s="1"/>
  <c r="F91" i="1"/>
  <c r="L91" i="1" s="1"/>
  <c r="J124" i="1"/>
  <c r="F124" i="1"/>
  <c r="L124" i="1" s="1"/>
  <c r="F176" i="1"/>
  <c r="J69" i="1"/>
  <c r="F69" i="1"/>
  <c r="L69" i="1" s="1"/>
  <c r="F80" i="1"/>
  <c r="L80" i="1" s="1"/>
  <c r="J62" i="1"/>
  <c r="F113" i="1"/>
  <c r="L113" i="1" s="1"/>
  <c r="J147" i="1"/>
  <c r="J172" i="1"/>
  <c r="F72" i="1"/>
  <c r="L72" i="1" s="1"/>
  <c r="J105" i="1"/>
  <c r="F157" i="1"/>
  <c r="L157" i="1" s="1"/>
  <c r="J65" i="1"/>
  <c r="F138" i="1"/>
  <c r="L138" i="1" s="1"/>
  <c r="J171" i="1"/>
  <c r="J118" i="1"/>
  <c r="F118" i="1"/>
  <c r="L118" i="1" s="1"/>
  <c r="L119" i="1" s="1"/>
  <c r="L121" i="1" s="1"/>
  <c r="J153" i="1"/>
  <c r="F133" i="1"/>
  <c r="L133" i="1" s="1"/>
  <c r="J133" i="1"/>
  <c r="J71" i="1"/>
  <c r="F63" i="1"/>
  <c r="L63" i="1" s="1"/>
  <c r="F161" i="1"/>
  <c r="F66" i="1"/>
  <c r="L66" i="1" s="1"/>
  <c r="F65" i="1"/>
  <c r="L65" i="1" s="1"/>
  <c r="F171" i="1"/>
  <c r="F86" i="1"/>
  <c r="L86" i="1" s="1"/>
  <c r="F62" i="1"/>
  <c r="L62" i="1" s="1"/>
  <c r="F175" i="1"/>
  <c r="J89" i="1"/>
  <c r="F174" i="1"/>
  <c r="J174" i="1"/>
  <c r="J123" i="1"/>
  <c r="F123" i="1"/>
  <c r="L123" i="1" s="1"/>
  <c r="J126" i="1"/>
  <c r="J70" i="1"/>
  <c r="J155" i="1"/>
  <c r="F106" i="1"/>
  <c r="L106" i="1" s="1"/>
  <c r="J106" i="1"/>
  <c r="J92" i="1"/>
  <c r="F147" i="1"/>
  <c r="L147" i="1" s="1"/>
  <c r="F88" i="1"/>
  <c r="L88" i="1" s="1"/>
  <c r="J88" i="1"/>
  <c r="F172" i="1"/>
  <c r="F105" i="1"/>
  <c r="L105" i="1" s="1"/>
  <c r="J136" i="1"/>
  <c r="F130" i="1"/>
  <c r="L130" i="1" s="1"/>
  <c r="J130" i="1"/>
  <c r="F117" i="1"/>
  <c r="L117" i="1" s="1"/>
  <c r="J117" i="1"/>
  <c r="J58" i="1"/>
  <c r="F58" i="1"/>
  <c r="L58" i="1" s="1"/>
  <c r="F104" i="1"/>
  <c r="J67" i="1"/>
  <c r="F67" i="1"/>
  <c r="L67" i="1" s="1"/>
  <c r="F82" i="1"/>
  <c r="L82" i="1" s="1"/>
  <c r="F114" i="1"/>
  <c r="L114" i="1" s="1"/>
  <c r="F70" i="1"/>
  <c r="L70" i="1" s="1"/>
  <c r="F136" i="1"/>
  <c r="L136" i="1" s="1"/>
  <c r="F89" i="1"/>
  <c r="L89" i="1" s="1"/>
  <c r="J68" i="1"/>
  <c r="F68" i="1"/>
  <c r="L68" i="1" s="1"/>
  <c r="J154" i="1"/>
  <c r="F126" i="1"/>
  <c r="L126" i="1" s="1"/>
  <c r="F173" i="1"/>
  <c r="J173" i="1"/>
  <c r="F103" i="1"/>
  <c r="L103" i="1" s="1"/>
  <c r="J103" i="1"/>
  <c r="F155" i="1"/>
  <c r="L155" i="1" s="1"/>
  <c r="F145" i="1"/>
  <c r="L145" i="1" s="1"/>
  <c r="J145" i="1"/>
  <c r="F139" i="1"/>
  <c r="L139" i="1" s="1"/>
  <c r="J139" i="1"/>
  <c r="F92" i="1"/>
  <c r="L92" i="1" s="1"/>
  <c r="J125" i="1"/>
  <c r="F125" i="1"/>
  <c r="L125" i="1" s="1"/>
  <c r="F94" i="1"/>
  <c r="L94" i="1" s="1"/>
  <c r="J94" i="1"/>
  <c r="J84" i="1"/>
  <c r="J169" i="1"/>
  <c r="F150" i="1"/>
  <c r="L150" i="1" s="1"/>
  <c r="J150" i="1"/>
  <c r="F87" i="1"/>
  <c r="J87" i="1"/>
  <c r="J64" i="1"/>
  <c r="F64" i="1"/>
  <c r="L64" i="1" s="1"/>
  <c r="F85" i="1"/>
  <c r="L85" i="1" s="1"/>
  <c r="F84" i="1"/>
  <c r="L84" i="1" s="1"/>
  <c r="F134" i="1"/>
  <c r="L134" i="1" s="1"/>
  <c r="F158" i="1"/>
  <c r="F71" i="1"/>
  <c r="L71" i="1" s="1"/>
  <c r="F154" i="1"/>
  <c r="L154" i="1" s="1"/>
  <c r="F151" i="1"/>
  <c r="L151" i="1" s="1"/>
  <c r="J151" i="1"/>
  <c r="F169" i="1"/>
  <c r="F128" i="1"/>
  <c r="L128" i="1" s="1"/>
  <c r="J128" i="1"/>
  <c r="F168" i="1"/>
  <c r="F160" i="1"/>
  <c r="F153" i="1"/>
  <c r="L153" i="1" s="1"/>
  <c r="F102" i="1"/>
  <c r="K76" i="1" l="1"/>
  <c r="M144" i="1"/>
  <c r="E102" i="1"/>
  <c r="L102" i="1"/>
  <c r="E134" i="1"/>
  <c r="E158" i="1"/>
  <c r="E157" i="1"/>
  <c r="E105" i="1"/>
  <c r="L104" i="1"/>
  <c r="E168" i="1"/>
  <c r="E87" i="1"/>
  <c r="L87" i="1"/>
  <c r="E110" i="1"/>
  <c r="E132" i="1"/>
  <c r="E149" i="1"/>
  <c r="E62" i="1"/>
  <c r="E82" i="1"/>
  <c r="E113" i="1"/>
  <c r="E91" i="1"/>
  <c r="E138" i="1"/>
  <c r="E72" i="1"/>
  <c r="E172" i="1"/>
  <c r="E92" i="1"/>
  <c r="E103" i="1"/>
  <c r="E106" i="1"/>
  <c r="E85" i="1"/>
  <c r="E67" i="1"/>
  <c r="E112" i="1"/>
  <c r="E163" i="1"/>
  <c r="E150" i="1"/>
  <c r="E173" i="1"/>
  <c r="E136" i="1"/>
  <c r="E86" i="1"/>
  <c r="E133" i="1"/>
  <c r="E117" i="1"/>
  <c r="E147" i="1"/>
  <c r="E139" i="1"/>
  <c r="E145" i="1"/>
  <c r="E155" i="1"/>
  <c r="E146" i="1"/>
  <c r="E97" i="1"/>
  <c r="E152" i="1"/>
  <c r="E88" i="1"/>
  <c r="E171" i="1"/>
  <c r="E178" i="1"/>
  <c r="E114" i="1"/>
  <c r="E154" i="1"/>
  <c r="E126" i="1"/>
  <c r="E130" i="1"/>
  <c r="E162" i="1"/>
  <c r="E124" i="1"/>
  <c r="E107" i="1"/>
  <c r="E127" i="1"/>
  <c r="E135" i="1"/>
  <c r="E140" i="1"/>
  <c r="E116" i="1"/>
  <c r="E93" i="1"/>
  <c r="E79" i="1"/>
  <c r="E128" i="1"/>
  <c r="E170" i="1"/>
  <c r="E115" i="1"/>
  <c r="E156" i="1"/>
  <c r="E148" i="1"/>
  <c r="E174" i="1"/>
  <c r="E109" i="1"/>
  <c r="E95" i="1"/>
  <c r="E160" i="1"/>
  <c r="E151" i="1"/>
  <c r="E64" i="1"/>
  <c r="E161" i="1"/>
  <c r="E118" i="1"/>
  <c r="E137" i="1"/>
  <c r="E96" i="1"/>
  <c r="E129" i="1"/>
  <c r="E111" i="1"/>
  <c r="E89" i="1"/>
  <c r="E153" i="1"/>
  <c r="E94" i="1"/>
  <c r="E70" i="1"/>
  <c r="E175" i="1"/>
  <c r="E176" i="1"/>
  <c r="E90" i="1"/>
  <c r="E164" i="1"/>
  <c r="E177" i="1"/>
  <c r="E131" i="1"/>
  <c r="E159" i="1"/>
  <c r="E108" i="1"/>
  <c r="E66" i="1"/>
  <c r="E80" i="1"/>
  <c r="E68" i="1"/>
  <c r="E65" i="1"/>
  <c r="E60" i="1"/>
  <c r="E69" i="1"/>
  <c r="E59" i="1"/>
  <c r="E73" i="1"/>
  <c r="E63" i="1"/>
  <c r="E61" i="1"/>
  <c r="E81" i="1"/>
  <c r="E84" i="1"/>
  <c r="E125" i="1"/>
  <c r="E71" i="1"/>
  <c r="E169" i="1"/>
  <c r="E104" i="1"/>
  <c r="E83" i="1"/>
  <c r="J56" i="1"/>
  <c r="J46" i="1"/>
  <c r="J42" i="1"/>
  <c r="J43" i="1"/>
  <c r="J48" i="1"/>
  <c r="E48" i="1"/>
  <c r="E51" i="1"/>
  <c r="J51" i="1"/>
  <c r="J38" i="1"/>
  <c r="J49" i="1"/>
  <c r="E49" i="1"/>
  <c r="J45" i="1"/>
  <c r="J52" i="1"/>
  <c r="M56" i="1" s="1"/>
  <c r="J50" i="1"/>
  <c r="E44" i="1"/>
  <c r="J44" i="1"/>
  <c r="E41" i="1"/>
  <c r="J47" i="1"/>
  <c r="J41" i="1"/>
  <c r="E42" i="1"/>
  <c r="J39" i="1"/>
  <c r="E39" i="1"/>
  <c r="E43" i="1"/>
  <c r="J40" i="1"/>
  <c r="E40" i="1"/>
  <c r="E50" i="1"/>
  <c r="E52" i="1"/>
  <c r="E47" i="1"/>
  <c r="M57" i="1" l="1"/>
  <c r="M58" i="1" s="1"/>
  <c r="E45" i="1"/>
  <c r="E46" i="1"/>
  <c r="E37" i="1"/>
  <c r="J37" i="1"/>
  <c r="E38" i="1" l="1"/>
  <c r="E78" i="1"/>
  <c r="A74" i="1"/>
  <c r="J77" i="1" l="1"/>
  <c r="M77" i="1" s="1"/>
  <c r="G57" i="1"/>
  <c r="J57" i="1" s="1"/>
  <c r="M102" i="1" l="1"/>
  <c r="M103" i="1" s="1"/>
  <c r="M78" i="1"/>
  <c r="M79" i="1" s="1"/>
  <c r="F57" i="1"/>
  <c r="L57" i="1" l="1"/>
  <c r="E57" i="1"/>
  <c r="E58" i="1"/>
  <c r="E123" i="1"/>
  <c r="G122" i="1"/>
  <c r="J122" i="1" l="1"/>
  <c r="M122" i="1" s="1"/>
  <c r="C122" i="1"/>
  <c r="A119" i="1"/>
  <c r="M123" i="1" l="1"/>
  <c r="M124" i="1" s="1"/>
  <c r="M145" i="1"/>
  <c r="M146" i="1" s="1"/>
  <c r="M148" i="1" s="1"/>
</calcChain>
</file>

<file path=xl/sharedStrings.xml><?xml version="1.0" encoding="utf-8"?>
<sst xmlns="http://schemas.openxmlformats.org/spreadsheetml/2006/main" count="136" uniqueCount="39">
  <si>
    <t>Venta (ASK)</t>
  </si>
  <si>
    <t>Total</t>
  </si>
  <si>
    <t>Variacion</t>
  </si>
  <si>
    <t>Base</t>
  </si>
  <si>
    <t>Capital</t>
  </si>
  <si>
    <t>Fecha</t>
  </si>
  <si>
    <t>Liquidación</t>
  </si>
  <si>
    <t>Valor en Bs</t>
  </si>
  <si>
    <t>Valor en UVC</t>
  </si>
  <si>
    <t>IDI</t>
  </si>
  <si>
    <t>Valor en S</t>
  </si>
  <si>
    <t>Crédito</t>
  </si>
  <si>
    <t>Interes cap.</t>
  </si>
  <si>
    <t>Interes Var.</t>
  </si>
  <si>
    <t>Interes Mora</t>
  </si>
  <si>
    <t>Capital diario</t>
  </si>
  <si>
    <t>Base diario</t>
  </si>
  <si>
    <t>Interes</t>
  </si>
  <si>
    <t>Mora</t>
  </si>
  <si>
    <t>Diaria</t>
  </si>
  <si>
    <t>Acumulada</t>
  </si>
  <si>
    <t>Interes Devengado</t>
  </si>
  <si>
    <t>Interes Cobrado</t>
  </si>
  <si>
    <t>Interes capital Base</t>
  </si>
  <si>
    <t>Amortizacion capital base</t>
  </si>
  <si>
    <t>Amortizacion variacion de capital</t>
  </si>
  <si>
    <t>Amortización</t>
  </si>
  <si>
    <t>Cuota 1</t>
  </si>
  <si>
    <t>Dif</t>
  </si>
  <si>
    <t>Nro. Dias</t>
  </si>
  <si>
    <t>Cuota 2</t>
  </si>
  <si>
    <t>Cuota 3</t>
  </si>
  <si>
    <t>Cuota 4</t>
  </si>
  <si>
    <t>Cuota 5</t>
  </si>
  <si>
    <t>Cuota 6</t>
  </si>
  <si>
    <t>Monto pagado</t>
  </si>
  <si>
    <t>Total pagado</t>
  </si>
  <si>
    <t>Total Saldo deudor</t>
  </si>
  <si>
    <t>Cuota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</si>
</sst>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u val="singleAccounting"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2">
    <xf numFmtId="0" fontId="0" fillId="0" borderId="0" xfId="0"/>
    <xf numFmtId="164" fontId="0" fillId="0" borderId="0" xfId="1" applyFont="1" applyFill="1" applyBorder="1"/>
    <xf numFmtId="164" fontId="0" fillId="0" borderId="0" xfId="1" applyFont="1"/>
    <xf numFmtId="164" fontId="0" fillId="0" borderId="0" xfId="0" applyNumberFormat="1"/>
    <xf numFmtId="2" fontId="0" fillId="0" borderId="0" xfId="0" applyNumberFormat="1"/>
    <xf numFmtId="0" fontId="0" fillId="0" borderId="0" xfId="0" applyFill="1"/>
    <xf numFmtId="2" fontId="0" fillId="0" borderId="0" xfId="0" applyNumberFormat="1" applyFill="1"/>
    <xf numFmtId="164" fontId="0" fillId="0" borderId="0" xfId="1" applyFont="1" applyFill="1"/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14" fontId="0" fillId="0" borderId="0" xfId="0" applyNumberFormat="1"/>
    <xf numFmtId="43" fontId="0" fillId="0" borderId="0" xfId="0" applyNumberFormat="1" applyFill="1"/>
    <xf numFmtId="164" fontId="0" fillId="2" borderId="0" xfId="1" applyFont="1" applyFill="1"/>
    <xf numFmtId="0" fontId="0" fillId="2" borderId="0" xfId="0" applyFill="1"/>
    <xf numFmtId="2" fontId="0" fillId="2" borderId="0" xfId="0" applyNumberFormat="1" applyFill="1"/>
    <xf numFmtId="164" fontId="0" fillId="2" borderId="0" xfId="0" applyNumberFormat="1" applyFill="1"/>
    <xf numFmtId="43" fontId="0" fillId="0" borderId="0" xfId="0" applyNumberFormat="1"/>
    <xf numFmtId="14" fontId="0" fillId="2" borderId="0" xfId="0" applyNumberFormat="1" applyFill="1"/>
    <xf numFmtId="164" fontId="0" fillId="0" borderId="0" xfId="0" applyNumberFormat="1" applyFill="1"/>
    <xf numFmtId="14" fontId="0" fillId="0" borderId="0" xfId="0" applyNumberFormat="1" applyFill="1"/>
    <xf numFmtId="10" fontId="2" fillId="0" borderId="1" xfId="2" applyNumberFormat="1" applyFont="1" applyBorder="1" applyAlignment="1">
      <alignment horizontal="center"/>
    </xf>
    <xf numFmtId="164" fontId="0" fillId="0" borderId="1" xfId="1" applyFont="1" applyFill="1" applyBorder="1"/>
    <xf numFmtId="164" fontId="2" fillId="0" borderId="2" xfId="1" applyFont="1" applyFill="1" applyBorder="1"/>
    <xf numFmtId="164" fontId="2" fillId="0" borderId="0" xfId="1" applyFont="1" applyFill="1" applyBorder="1"/>
    <xf numFmtId="164" fontId="2" fillId="0" borderId="0" xfId="1" applyFont="1" applyAlignment="1">
      <alignment horizontal="right"/>
    </xf>
    <xf numFmtId="164" fontId="0" fillId="0" borderId="0" xfId="1" applyFont="1" applyAlignment="1">
      <alignment horizontal="center"/>
    </xf>
    <xf numFmtId="164" fontId="4" fillId="0" borderId="0" xfId="1" applyFont="1" applyAlignment="1">
      <alignment horizontal="center"/>
    </xf>
    <xf numFmtId="164" fontId="2" fillId="2" borderId="0" xfId="1" applyFont="1" applyFill="1"/>
    <xf numFmtId="164" fontId="0" fillId="0" borderId="1" xfId="1" applyFont="1" applyBorder="1"/>
    <xf numFmtId="164" fontId="0" fillId="2" borderId="0" xfId="1" applyFont="1" applyFill="1" applyBorder="1"/>
    <xf numFmtId="43" fontId="0" fillId="2" borderId="0" xfId="0" applyNumberFormat="1" applyFill="1"/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29"/>
  <sheetViews>
    <sheetView topLeftCell="B1" zoomScale="160" zoomScaleNormal="160" workbookViewId="0">
      <selection activeCell="F10" sqref="F10"/>
    </sheetView>
  </sheetViews>
  <sheetFormatPr baseColWidth="10" defaultRowHeight="14.4" x14ac:dyDescent="0.3"/>
  <cols>
    <col min="1" max="1" width="11.5546875" style="5"/>
    <col min="2" max="2" width="12.44140625" customWidth="1"/>
    <col min="3" max="3" width="12.44140625" bestFit="1" customWidth="1"/>
    <col min="6" max="6" width="17.109375" bestFit="1" customWidth="1"/>
    <col min="9" max="9" width="11.6640625" bestFit="1" customWidth="1"/>
    <col min="10" max="10" width="9.44140625" bestFit="1" customWidth="1"/>
    <col min="11" max="11" width="11.33203125" customWidth="1"/>
    <col min="12" max="12" width="11.33203125" bestFit="1" customWidth="1"/>
  </cols>
  <sheetData>
    <row r="1" spans="1:14" x14ac:dyDescent="0.3">
      <c r="A1" s="19"/>
      <c r="D1" s="2"/>
      <c r="E1" s="2"/>
      <c r="F1" s="2"/>
      <c r="G1" s="2"/>
      <c r="H1" s="2"/>
      <c r="I1" s="2"/>
      <c r="J1" s="4"/>
    </row>
    <row r="2" spans="1:14" x14ac:dyDescent="0.3">
      <c r="A2" s="19"/>
      <c r="D2" s="2"/>
      <c r="E2" s="2"/>
      <c r="F2" s="2"/>
      <c r="G2" s="2"/>
      <c r="H2" s="2"/>
      <c r="I2" s="2"/>
      <c r="J2" s="4"/>
    </row>
    <row r="3" spans="1:14" x14ac:dyDescent="0.3">
      <c r="A3" s="19"/>
      <c r="D3" s="2"/>
      <c r="E3" s="2"/>
      <c r="F3" s="2"/>
      <c r="G3" s="2"/>
      <c r="H3" s="2"/>
      <c r="I3" s="2"/>
      <c r="J3" s="4"/>
    </row>
    <row r="4" spans="1:14" x14ac:dyDescent="0.3">
      <c r="A4" s="19"/>
      <c r="D4" s="2"/>
      <c r="E4" s="2"/>
      <c r="F4" s="2"/>
      <c r="G4" s="2"/>
      <c r="H4" s="2"/>
      <c r="I4" s="2"/>
      <c r="J4" s="4"/>
    </row>
    <row r="5" spans="1:14" x14ac:dyDescent="0.3">
      <c r="A5" s="19"/>
      <c r="D5" s="2"/>
      <c r="E5" s="2"/>
      <c r="F5" s="2"/>
      <c r="G5" s="2"/>
      <c r="H5" s="2"/>
      <c r="I5" s="2"/>
      <c r="J5" s="4"/>
    </row>
    <row r="6" spans="1:14" x14ac:dyDescent="0.3">
      <c r="A6" s="19"/>
      <c r="C6" s="10"/>
      <c r="D6" s="10" t="s">
        <v>7</v>
      </c>
      <c r="E6" s="10" t="s">
        <v>2</v>
      </c>
      <c r="F6" s="10" t="s">
        <v>2</v>
      </c>
      <c r="G6" s="2"/>
      <c r="H6" s="2"/>
      <c r="I6" s="2"/>
      <c r="J6" s="10" t="s">
        <v>10</v>
      </c>
    </row>
    <row r="7" spans="1:14" x14ac:dyDescent="0.3">
      <c r="A7" s="19"/>
      <c r="B7" s="10" t="s">
        <v>5</v>
      </c>
      <c r="C7" s="10"/>
      <c r="D7" s="10" t="s">
        <v>4</v>
      </c>
      <c r="E7" s="10" t="s">
        <v>4</v>
      </c>
      <c r="F7" s="10" t="s">
        <v>4</v>
      </c>
      <c r="G7" s="10" t="s">
        <v>1</v>
      </c>
      <c r="H7" s="10"/>
      <c r="I7" s="2"/>
      <c r="J7" s="10" t="s">
        <v>1</v>
      </c>
      <c r="L7" s="2"/>
    </row>
    <row r="8" spans="1:14" x14ac:dyDescent="0.3">
      <c r="A8" s="19"/>
      <c r="B8" s="9" t="s">
        <v>6</v>
      </c>
      <c r="C8" s="10" t="s">
        <v>8</v>
      </c>
      <c r="D8" s="9" t="s">
        <v>3</v>
      </c>
      <c r="E8" s="9" t="s">
        <v>19</v>
      </c>
      <c r="F8" s="9" t="s">
        <v>20</v>
      </c>
      <c r="G8" s="9" t="s">
        <v>11</v>
      </c>
      <c r="H8" s="9" t="s">
        <v>9</v>
      </c>
      <c r="I8" s="8" t="s">
        <v>0</v>
      </c>
      <c r="J8" s="9" t="s">
        <v>11</v>
      </c>
      <c r="L8" s="2"/>
    </row>
    <row r="9" spans="1:14" s="5" customFormat="1" x14ac:dyDescent="0.3">
      <c r="A9" s="19"/>
      <c r="B9" s="18">
        <v>45946</v>
      </c>
      <c r="C9" s="16">
        <f>+G9/H9</f>
        <v>162443.28508446264</v>
      </c>
      <c r="D9" s="13">
        <v>160000</v>
      </c>
      <c r="E9" s="13"/>
      <c r="F9" s="13"/>
      <c r="G9" s="13">
        <f>+D9+F9</f>
        <v>160000</v>
      </c>
      <c r="H9" s="14">
        <v>0.98495915000000001</v>
      </c>
      <c r="I9" s="15">
        <v>201.4665</v>
      </c>
      <c r="J9" s="13">
        <f t="shared" ref="J9:J30" si="0">+G9/I9</f>
        <v>794.17669935200149</v>
      </c>
      <c r="K9" s="7"/>
      <c r="L9" s="7"/>
      <c r="M9" s="7"/>
      <c r="N9" s="7"/>
    </row>
    <row r="10" spans="1:14" x14ac:dyDescent="0.3">
      <c r="B10" s="11">
        <v>45947</v>
      </c>
      <c r="C10" s="3">
        <v>162443.29</v>
      </c>
      <c r="D10" s="2">
        <v>160000</v>
      </c>
      <c r="E10" s="2">
        <f>+F10-F9</f>
        <v>1807.1490579076344</v>
      </c>
      <c r="F10" s="2">
        <f>+C9*H10-$D$9</f>
        <v>1807.1490579076344</v>
      </c>
      <c r="G10" s="2">
        <f>+$D$9+F10</f>
        <v>161807.14905790763</v>
      </c>
      <c r="H10">
        <v>0.99608395000000005</v>
      </c>
      <c r="I10" s="3">
        <v>203.74199999999999</v>
      </c>
      <c r="J10" s="2">
        <f t="shared" si="0"/>
        <v>794.17669924663369</v>
      </c>
      <c r="K10" s="2"/>
      <c r="L10" s="2"/>
      <c r="M10" s="2"/>
      <c r="N10" s="2"/>
    </row>
    <row r="11" spans="1:14" x14ac:dyDescent="0.3">
      <c r="B11" s="11">
        <v>45950</v>
      </c>
      <c r="C11" s="3">
        <v>162443.29</v>
      </c>
      <c r="D11" s="2">
        <v>160000</v>
      </c>
      <c r="E11" s="2">
        <f t="shared" ref="E11:E74" si="1">+F11-F10</f>
        <v>1535.465981921996</v>
      </c>
      <c r="F11" s="2">
        <f t="shared" ref="F11:F31" si="2">+C10*H11-$D$9</f>
        <v>3342.6150398296304</v>
      </c>
      <c r="G11" s="2">
        <f t="shared" ref="G11:G31" si="3">+$D$9+F11</f>
        <v>163342.61503982963</v>
      </c>
      <c r="H11">
        <v>1.0055362400000001</v>
      </c>
      <c r="I11" s="3">
        <v>205.6754</v>
      </c>
      <c r="J11" s="2">
        <f t="shared" si="0"/>
        <v>794.17672234904921</v>
      </c>
      <c r="K11" s="2"/>
      <c r="L11" s="2"/>
      <c r="M11" s="2"/>
      <c r="N11" s="2"/>
    </row>
    <row r="12" spans="1:14" x14ac:dyDescent="0.3">
      <c r="B12" s="11">
        <v>45951</v>
      </c>
      <c r="C12" s="3">
        <v>162443.29</v>
      </c>
      <c r="D12" s="2">
        <v>160000</v>
      </c>
      <c r="E12" s="2">
        <f t="shared" si="1"/>
        <v>1761.8030681884557</v>
      </c>
      <c r="F12" s="2">
        <f t="shared" si="2"/>
        <v>5104.4181080180861</v>
      </c>
      <c r="G12" s="2">
        <f t="shared" si="3"/>
        <v>165104.41810801809</v>
      </c>
      <c r="H12">
        <v>1.0163818899999999</v>
      </c>
      <c r="I12" s="3">
        <v>207.8938</v>
      </c>
      <c r="J12" s="2">
        <f t="shared" si="0"/>
        <v>794.1767292147149</v>
      </c>
      <c r="K12" s="2"/>
      <c r="L12" s="2"/>
      <c r="M12" s="2"/>
      <c r="N12" s="2"/>
    </row>
    <row r="13" spans="1:14" x14ac:dyDescent="0.3">
      <c r="A13" s="7"/>
      <c r="B13" s="11">
        <v>45952</v>
      </c>
      <c r="C13" s="3">
        <v>162443.29</v>
      </c>
      <c r="D13" s="2">
        <v>160000</v>
      </c>
      <c r="E13" s="2">
        <f t="shared" si="1"/>
        <v>1897.0484781438136</v>
      </c>
      <c r="F13" s="2">
        <f t="shared" si="2"/>
        <v>7001.4665861618996</v>
      </c>
      <c r="G13" s="2">
        <f t="shared" si="3"/>
        <v>167001.4665861619</v>
      </c>
      <c r="H13">
        <v>1.02806011</v>
      </c>
      <c r="I13" s="3">
        <v>210.2825</v>
      </c>
      <c r="J13" s="2">
        <f t="shared" si="0"/>
        <v>794.17672220066765</v>
      </c>
      <c r="K13" s="2"/>
      <c r="L13" s="2"/>
      <c r="M13" s="2"/>
      <c r="N13" s="2"/>
    </row>
    <row r="14" spans="1:14" x14ac:dyDescent="0.3">
      <c r="A14" s="7"/>
      <c r="B14" s="11">
        <v>45953</v>
      </c>
      <c r="C14" s="3">
        <v>162443.29</v>
      </c>
      <c r="D14" s="2">
        <v>160000</v>
      </c>
      <c r="E14" s="2">
        <f t="shared" si="1"/>
        <v>1748.1432119323872</v>
      </c>
      <c r="F14" s="2">
        <f t="shared" si="2"/>
        <v>8749.6097980942868</v>
      </c>
      <c r="G14" s="2">
        <f t="shared" si="3"/>
        <v>168749.60979809429</v>
      </c>
      <c r="H14">
        <v>1.0388216699999999</v>
      </c>
      <c r="I14" s="3">
        <v>212.4837</v>
      </c>
      <c r="J14" s="2">
        <f t="shared" si="0"/>
        <v>794.17672884129126</v>
      </c>
      <c r="K14" s="2"/>
      <c r="L14" s="2"/>
      <c r="M14" s="2"/>
      <c r="N14" s="2"/>
    </row>
    <row r="15" spans="1:14" x14ac:dyDescent="0.3">
      <c r="A15" s="7"/>
      <c r="B15" s="11">
        <v>45954</v>
      </c>
      <c r="C15" s="3">
        <v>162443.29</v>
      </c>
      <c r="D15" s="2">
        <v>160000</v>
      </c>
      <c r="E15" s="2">
        <f t="shared" si="1"/>
        <v>1536.9701837982284</v>
      </c>
      <c r="F15" s="2">
        <f t="shared" si="2"/>
        <v>10286.579981892515</v>
      </c>
      <c r="G15" s="2">
        <f t="shared" si="3"/>
        <v>170286.57998189252</v>
      </c>
      <c r="H15">
        <v>1.0482832500000001</v>
      </c>
      <c r="I15" s="3">
        <v>214.41900000000001</v>
      </c>
      <c r="J15" s="2">
        <f t="shared" si="0"/>
        <v>794.17672865694044</v>
      </c>
      <c r="K15" s="2"/>
      <c r="L15" s="2"/>
      <c r="N15" s="2"/>
    </row>
    <row r="16" spans="1:14" x14ac:dyDescent="0.3">
      <c r="A16" s="7"/>
      <c r="B16" s="11">
        <v>45957</v>
      </c>
      <c r="C16" s="3">
        <v>162443.29</v>
      </c>
      <c r="D16" s="2">
        <v>160000</v>
      </c>
      <c r="E16" s="2">
        <f t="shared" si="1"/>
        <v>1550.5504428422137</v>
      </c>
      <c r="F16" s="2">
        <f t="shared" si="2"/>
        <v>11837.130424734729</v>
      </c>
      <c r="G16" s="2">
        <f t="shared" si="3"/>
        <v>171837.13042473473</v>
      </c>
      <c r="H16">
        <v>1.05782843</v>
      </c>
      <c r="I16" s="3">
        <v>216.37139999999999</v>
      </c>
      <c r="J16" s="2">
        <f t="shared" si="0"/>
        <v>794.17672772249352</v>
      </c>
      <c r="K16" s="2"/>
      <c r="L16" s="2"/>
      <c r="N16" s="2"/>
    </row>
    <row r="17" spans="1:14" x14ac:dyDescent="0.3">
      <c r="A17" s="7"/>
      <c r="B17" s="11">
        <v>45958</v>
      </c>
      <c r="C17" s="3">
        <v>162443.29</v>
      </c>
      <c r="D17" s="2">
        <v>160000</v>
      </c>
      <c r="E17" s="2">
        <f t="shared" si="1"/>
        <v>1428.4060842253966</v>
      </c>
      <c r="F17" s="2">
        <f t="shared" si="2"/>
        <v>13265.536508960126</v>
      </c>
      <c r="G17" s="2">
        <f t="shared" si="3"/>
        <v>173265.53650896013</v>
      </c>
      <c r="H17">
        <v>1.0666216900000001</v>
      </c>
      <c r="I17" s="3">
        <v>218.17</v>
      </c>
      <c r="J17" s="2">
        <f t="shared" si="0"/>
        <v>794.17672690544134</v>
      </c>
      <c r="K17" s="2"/>
      <c r="L17" s="2"/>
      <c r="N17" s="2"/>
    </row>
    <row r="18" spans="1:14" x14ac:dyDescent="0.3">
      <c r="A18" s="7"/>
      <c r="B18" s="11">
        <v>45959</v>
      </c>
      <c r="C18" s="3">
        <v>162443.29</v>
      </c>
      <c r="D18" s="2">
        <v>160000</v>
      </c>
      <c r="E18" s="2">
        <f t="shared" si="1"/>
        <v>1353.0388953969814</v>
      </c>
      <c r="F18" s="2">
        <f t="shared" si="2"/>
        <v>14618.575404357107</v>
      </c>
      <c r="G18" s="2">
        <f t="shared" si="3"/>
        <v>174618.57540435711</v>
      </c>
      <c r="H18" s="5">
        <v>1.0749509900000001</v>
      </c>
      <c r="I18" s="19">
        <v>219.87370000000001</v>
      </c>
      <c r="J18" s="2">
        <f t="shared" si="0"/>
        <v>794.17672693167526</v>
      </c>
      <c r="K18" s="2"/>
      <c r="L18" s="2"/>
      <c r="N18" s="2"/>
    </row>
    <row r="19" spans="1:14" x14ac:dyDescent="0.3">
      <c r="A19" s="7"/>
      <c r="B19" s="11">
        <v>45960</v>
      </c>
      <c r="C19" s="3">
        <v>162443.29</v>
      </c>
      <c r="D19" s="2">
        <v>160000</v>
      </c>
      <c r="E19" s="2">
        <f t="shared" si="1"/>
        <v>1485.1897606777784</v>
      </c>
      <c r="F19" s="2">
        <f t="shared" si="2"/>
        <v>16103.765165034885</v>
      </c>
      <c r="G19" s="2">
        <f t="shared" si="3"/>
        <v>176103.76516503489</v>
      </c>
      <c r="H19">
        <v>1.0840938099999999</v>
      </c>
      <c r="I19" s="3">
        <v>221.74379999999999</v>
      </c>
      <c r="J19" s="2">
        <f t="shared" si="0"/>
        <v>794.17672631674429</v>
      </c>
      <c r="K19" s="2"/>
      <c r="L19" s="2"/>
      <c r="N19" s="2"/>
    </row>
    <row r="20" spans="1:14" x14ac:dyDescent="0.3">
      <c r="A20" s="7"/>
      <c r="B20" s="11">
        <v>45961</v>
      </c>
      <c r="C20" s="3">
        <v>162443.29</v>
      </c>
      <c r="D20" s="2">
        <v>160000</v>
      </c>
      <c r="E20" s="2">
        <f t="shared" si="1"/>
        <v>1510.6040133983188</v>
      </c>
      <c r="F20" s="2">
        <f t="shared" si="2"/>
        <v>17614.369178433204</v>
      </c>
      <c r="G20" s="2">
        <f t="shared" si="3"/>
        <v>177614.3691784332</v>
      </c>
      <c r="H20">
        <v>1.09339308</v>
      </c>
      <c r="I20" s="3">
        <v>223.64590000000001</v>
      </c>
      <c r="J20" s="2">
        <f t="shared" si="0"/>
        <v>794.17672838372266</v>
      </c>
      <c r="K20" s="2"/>
      <c r="L20" s="2"/>
      <c r="N20" s="2"/>
    </row>
    <row r="21" spans="1:14" x14ac:dyDescent="0.3">
      <c r="A21" s="7"/>
      <c r="B21" s="11">
        <v>45964</v>
      </c>
      <c r="C21" s="3">
        <v>162443.29</v>
      </c>
      <c r="D21" s="2">
        <v>160000</v>
      </c>
      <c r="E21" s="2">
        <f t="shared" si="1"/>
        <v>251.19743035730789</v>
      </c>
      <c r="F21" s="2">
        <f t="shared" si="2"/>
        <v>17865.566608790512</v>
      </c>
      <c r="G21" s="2">
        <f t="shared" si="3"/>
        <v>177865.56660879051</v>
      </c>
      <c r="H21">
        <v>1.09493945</v>
      </c>
      <c r="I21" s="3">
        <v>223.9622</v>
      </c>
      <c r="J21" s="2">
        <f t="shared" si="0"/>
        <v>794.1767253973685</v>
      </c>
      <c r="K21" s="2"/>
      <c r="L21" s="2"/>
      <c r="N21" s="2"/>
    </row>
    <row r="22" spans="1:14" x14ac:dyDescent="0.3">
      <c r="A22" s="7"/>
      <c r="B22" s="11">
        <v>45965</v>
      </c>
      <c r="C22" s="3">
        <v>162443.29</v>
      </c>
      <c r="D22" s="2">
        <v>160000</v>
      </c>
      <c r="E22" s="2">
        <f t="shared" si="1"/>
        <v>328.78846782579785</v>
      </c>
      <c r="F22" s="2">
        <f t="shared" si="2"/>
        <v>18194.35507661631</v>
      </c>
      <c r="G22" s="2">
        <f t="shared" si="3"/>
        <v>178194.35507661631</v>
      </c>
      <c r="H22">
        <v>1.0969634699999999</v>
      </c>
      <c r="I22" s="3">
        <v>224.37620000000001</v>
      </c>
      <c r="J22" s="2">
        <f t="shared" si="0"/>
        <v>794.17672229325706</v>
      </c>
      <c r="K22" s="2"/>
      <c r="L22" s="2"/>
      <c r="N22" s="2"/>
    </row>
    <row r="23" spans="1:14" x14ac:dyDescent="0.3">
      <c r="A23" s="7"/>
      <c r="B23" s="11">
        <v>45966</v>
      </c>
      <c r="C23" s="3">
        <v>162443.29</v>
      </c>
      <c r="D23" s="2">
        <v>160000</v>
      </c>
      <c r="E23" s="2">
        <f t="shared" si="1"/>
        <v>1393.2257409101294</v>
      </c>
      <c r="F23" s="2">
        <f t="shared" si="2"/>
        <v>19587.580817526439</v>
      </c>
      <c r="G23" s="2">
        <f t="shared" si="3"/>
        <v>179587.58081752644</v>
      </c>
      <c r="H23">
        <v>1.1055401600000001</v>
      </c>
      <c r="I23" s="3">
        <v>226.13050000000001</v>
      </c>
      <c r="J23" s="2">
        <f t="shared" si="0"/>
        <v>794.17672900173318</v>
      </c>
      <c r="K23" s="2"/>
      <c r="L23" s="2"/>
      <c r="N23" s="2"/>
    </row>
    <row r="24" spans="1:14" x14ac:dyDescent="0.3">
      <c r="A24" s="7"/>
      <c r="B24" s="11">
        <v>45967</v>
      </c>
      <c r="C24" s="3">
        <v>162443.29</v>
      </c>
      <c r="D24" s="2">
        <v>160000</v>
      </c>
      <c r="E24" s="2">
        <f t="shared" si="1"/>
        <v>1132.6537082868454</v>
      </c>
      <c r="F24" s="2">
        <f t="shared" si="2"/>
        <v>20720.234525813285</v>
      </c>
      <c r="G24" s="2">
        <f t="shared" si="3"/>
        <v>180720.23452581328</v>
      </c>
      <c r="H24">
        <v>1.1125127699999999</v>
      </c>
      <c r="I24" s="3">
        <v>227.55670000000001</v>
      </c>
      <c r="J24" s="2">
        <f t="shared" si="0"/>
        <v>794.17672398049922</v>
      </c>
      <c r="K24" s="2"/>
      <c r="L24" s="2"/>
      <c r="N24" s="2"/>
    </row>
    <row r="25" spans="1:14" x14ac:dyDescent="0.3">
      <c r="A25" s="7"/>
      <c r="B25" s="11">
        <v>45968</v>
      </c>
      <c r="C25" s="3">
        <v>162443.29</v>
      </c>
      <c r="D25" s="2">
        <v>160000</v>
      </c>
      <c r="E25" s="2">
        <f t="shared" si="1"/>
        <v>732.94574891292723</v>
      </c>
      <c r="F25" s="2">
        <f t="shared" si="2"/>
        <v>21453.180274726212</v>
      </c>
      <c r="G25" s="2">
        <f t="shared" si="3"/>
        <v>181453.18027472621</v>
      </c>
      <c r="H25">
        <v>1.1170247799999999</v>
      </c>
      <c r="I25" s="3">
        <v>228.4796</v>
      </c>
      <c r="J25" s="2">
        <f t="shared" si="0"/>
        <v>794.1767242008749</v>
      </c>
      <c r="K25" s="2"/>
      <c r="L25" s="2"/>
    </row>
    <row r="26" spans="1:14" x14ac:dyDescent="0.3">
      <c r="A26" s="7"/>
      <c r="B26" s="11">
        <v>45971</v>
      </c>
      <c r="C26" s="3">
        <v>162443.29</v>
      </c>
      <c r="D26" s="2">
        <v>160000</v>
      </c>
      <c r="E26" s="2">
        <f t="shared" si="1"/>
        <v>2038.3335296212754</v>
      </c>
      <c r="F26" s="2">
        <f t="shared" si="2"/>
        <v>23491.513804347487</v>
      </c>
      <c r="G26" s="2">
        <f t="shared" si="3"/>
        <v>183491.51380434749</v>
      </c>
      <c r="H26">
        <v>1.1295727499999999</v>
      </c>
      <c r="I26" s="3">
        <v>231.0462</v>
      </c>
      <c r="J26" s="2">
        <f t="shared" si="0"/>
        <v>794.1767222501278</v>
      </c>
      <c r="K26" s="2"/>
      <c r="L26" s="2"/>
    </row>
    <row r="27" spans="1:14" x14ac:dyDescent="0.3">
      <c r="A27" s="7"/>
      <c r="B27" s="11">
        <v>45972</v>
      </c>
      <c r="C27" s="3">
        <v>162443.29</v>
      </c>
      <c r="D27" s="2">
        <v>160000</v>
      </c>
      <c r="E27" s="2">
        <f t="shared" si="1"/>
        <v>37.803802448819624</v>
      </c>
      <c r="F27" s="2">
        <f t="shared" si="2"/>
        <v>23529.317606796307</v>
      </c>
      <c r="G27" s="2">
        <f t="shared" si="3"/>
        <v>183529.31760679631</v>
      </c>
      <c r="H27">
        <v>1.12980547</v>
      </c>
      <c r="I27" s="3">
        <v>231.09379999999999</v>
      </c>
      <c r="J27" s="2">
        <f t="shared" si="0"/>
        <v>794.17672653613522</v>
      </c>
      <c r="K27" s="2"/>
      <c r="L27" s="2"/>
    </row>
    <row r="28" spans="1:14" x14ac:dyDescent="0.3">
      <c r="A28" s="7"/>
      <c r="B28" s="11">
        <v>45973</v>
      </c>
      <c r="C28" s="3">
        <v>162443.29</v>
      </c>
      <c r="D28" s="2">
        <v>160000</v>
      </c>
      <c r="E28" s="2">
        <f t="shared" si="1"/>
        <v>1550.2320539938228</v>
      </c>
      <c r="F28" s="2">
        <f t="shared" si="2"/>
        <v>25079.54966079013</v>
      </c>
      <c r="G28" s="2">
        <f t="shared" si="3"/>
        <v>185079.54966079013</v>
      </c>
      <c r="H28">
        <v>1.1393486900000001</v>
      </c>
      <c r="I28" s="3">
        <v>233.04580000000001</v>
      </c>
      <c r="J28" s="2">
        <f t="shared" si="0"/>
        <v>794.17672260469885</v>
      </c>
      <c r="K28" s="2"/>
      <c r="L28" s="2"/>
    </row>
    <row r="29" spans="1:14" x14ac:dyDescent="0.3">
      <c r="A29" s="7"/>
      <c r="B29" s="11">
        <v>45974</v>
      </c>
      <c r="C29" s="3">
        <v>162443.29</v>
      </c>
      <c r="D29" s="2">
        <v>160000</v>
      </c>
      <c r="E29" s="2">
        <f t="shared" si="1"/>
        <v>406.46072693925817</v>
      </c>
      <c r="F29" s="2">
        <f t="shared" si="2"/>
        <v>25486.010387729388</v>
      </c>
      <c r="G29" s="2">
        <f t="shared" si="3"/>
        <v>185486.01038772939</v>
      </c>
      <c r="H29">
        <v>1.1418508599999999</v>
      </c>
      <c r="I29" s="3">
        <v>233.55760000000001</v>
      </c>
      <c r="J29" s="2">
        <f t="shared" si="0"/>
        <v>794.1767272301538</v>
      </c>
      <c r="K29" s="2"/>
      <c r="L29" s="2"/>
    </row>
    <row r="30" spans="1:14" x14ac:dyDescent="0.3">
      <c r="A30" s="7"/>
      <c r="B30" s="11">
        <v>45975</v>
      </c>
      <c r="C30" s="3">
        <v>162443.29</v>
      </c>
      <c r="D30" s="2">
        <v>160000</v>
      </c>
      <c r="E30" s="2">
        <f t="shared" si="1"/>
        <v>1043.4690932111116</v>
      </c>
      <c r="F30" s="2">
        <f t="shared" si="2"/>
        <v>26529.479480940499</v>
      </c>
      <c r="G30" s="2">
        <f t="shared" si="3"/>
        <v>186529.4794809405</v>
      </c>
      <c r="H30">
        <v>1.1482744499999999</v>
      </c>
      <c r="I30" s="3">
        <v>234.8715</v>
      </c>
      <c r="J30" s="2">
        <f t="shared" si="0"/>
        <v>794.17672847042104</v>
      </c>
      <c r="K30" s="2"/>
      <c r="L30" s="2"/>
    </row>
    <row r="31" spans="1:14" x14ac:dyDescent="0.3">
      <c r="A31" s="7"/>
      <c r="B31" s="11">
        <v>45978</v>
      </c>
      <c r="C31" s="3">
        <v>162443.29</v>
      </c>
      <c r="D31" s="2">
        <v>160000</v>
      </c>
      <c r="E31" s="2">
        <v>1261.6288072481984</v>
      </c>
      <c r="F31" s="2">
        <f t="shared" si="2"/>
        <v>27791.108288188698</v>
      </c>
      <c r="G31" s="2">
        <f t="shared" si="3"/>
        <v>187791.1082881887</v>
      </c>
      <c r="H31">
        <v>1.1560410299999999</v>
      </c>
      <c r="I31" s="3">
        <v>236.46010000000001</v>
      </c>
      <c r="J31" s="2">
        <f t="shared" ref="J31:J48" si="4">+G31/I31</f>
        <v>794.17672701732215</v>
      </c>
      <c r="K31" s="2"/>
      <c r="L31" s="2"/>
      <c r="M31" s="2"/>
      <c r="N31" s="2"/>
    </row>
    <row r="32" spans="1:14" x14ac:dyDescent="0.3">
      <c r="A32" s="7"/>
      <c r="B32" s="11">
        <v>45979</v>
      </c>
      <c r="C32" s="3">
        <v>162443.29</v>
      </c>
      <c r="D32" s="2">
        <v>160000</v>
      </c>
      <c r="E32" s="2">
        <f t="shared" si="1"/>
        <v>300.83360204973724</v>
      </c>
      <c r="F32" s="2">
        <f>+C31*H32-$D$31</f>
        <v>28091.941890238435</v>
      </c>
      <c r="G32" s="2">
        <f t="shared" ref="G32:G48" si="5">$D$31+F32</f>
        <v>188091.94189023844</v>
      </c>
      <c r="H32">
        <v>1.1578929600000001</v>
      </c>
      <c r="I32" s="3">
        <v>236.8389</v>
      </c>
      <c r="J32" s="2">
        <f t="shared" si="4"/>
        <v>794.17672472823699</v>
      </c>
      <c r="K32" s="2"/>
      <c r="L32" s="2"/>
      <c r="M32" s="2"/>
      <c r="N32" s="2"/>
    </row>
    <row r="33" spans="1:17" x14ac:dyDescent="0.3">
      <c r="A33" s="7"/>
      <c r="B33" s="11">
        <v>45980</v>
      </c>
      <c r="C33" s="3">
        <v>162443.29</v>
      </c>
      <c r="D33" s="2">
        <v>160000</v>
      </c>
      <c r="E33" s="2">
        <f t="shared" si="1"/>
        <v>723.97238157328684</v>
      </c>
      <c r="F33" s="2">
        <f t="shared" ref="F33:F48" si="6">+C32*H33-$D$31</f>
        <v>28815.914271811722</v>
      </c>
      <c r="G33" s="2">
        <f t="shared" si="5"/>
        <v>188815.91427181172</v>
      </c>
      <c r="H33">
        <v>1.1623497300000001</v>
      </c>
      <c r="I33" s="3">
        <v>237.75049999999999</v>
      </c>
      <c r="J33" s="2">
        <f t="shared" si="4"/>
        <v>794.17672842669833</v>
      </c>
      <c r="K33" s="2"/>
      <c r="L33" s="2"/>
      <c r="M33" s="2"/>
      <c r="N33" s="2"/>
    </row>
    <row r="34" spans="1:17" x14ac:dyDescent="0.3">
      <c r="A34" s="7"/>
      <c r="B34" s="11">
        <v>45981</v>
      </c>
      <c r="C34" s="3">
        <v>162443.29</v>
      </c>
      <c r="D34" s="2">
        <v>160000</v>
      </c>
      <c r="E34" s="2">
        <f t="shared" si="1"/>
        <v>2041.3517259494693</v>
      </c>
      <c r="F34" s="2">
        <f t="shared" si="6"/>
        <v>30857.265997761191</v>
      </c>
      <c r="G34" s="2">
        <f t="shared" si="5"/>
        <v>190857.26599776119</v>
      </c>
      <c r="H34">
        <v>1.1749162799999999</v>
      </c>
      <c r="I34" s="3">
        <v>240.32089999999999</v>
      </c>
      <c r="J34" s="2">
        <f t="shared" si="4"/>
        <v>794.17672785746561</v>
      </c>
      <c r="K34" s="2"/>
      <c r="L34" s="2"/>
      <c r="M34" s="2"/>
      <c r="N34" s="2"/>
    </row>
    <row r="35" spans="1:17" x14ac:dyDescent="0.3">
      <c r="A35" s="7"/>
      <c r="B35" s="11">
        <v>45982</v>
      </c>
      <c r="C35" s="3">
        <v>162443.29</v>
      </c>
      <c r="D35" s="2">
        <v>160000</v>
      </c>
      <c r="E35" s="2">
        <f t="shared" si="1"/>
        <v>998.35859157811501</v>
      </c>
      <c r="F35" s="2">
        <f t="shared" si="6"/>
        <v>31855.624589339306</v>
      </c>
      <c r="G35" s="2">
        <f t="shared" si="5"/>
        <v>191855.62458933931</v>
      </c>
      <c r="H35">
        <v>1.1810621699999999</v>
      </c>
      <c r="I35" s="3">
        <v>241.578</v>
      </c>
      <c r="J35" s="2">
        <f t="shared" si="4"/>
        <v>794.17672382973331</v>
      </c>
      <c r="K35" s="2"/>
      <c r="L35" s="2"/>
      <c r="M35" s="2"/>
      <c r="N35" s="2"/>
    </row>
    <row r="36" spans="1:17" x14ac:dyDescent="0.3">
      <c r="A36" s="7"/>
      <c r="B36" s="11">
        <v>45986</v>
      </c>
      <c r="C36" s="3">
        <v>162443.29</v>
      </c>
      <c r="D36" s="2">
        <v>160000</v>
      </c>
      <c r="E36" s="2">
        <f t="shared" si="1"/>
        <v>1217.0754860999295</v>
      </c>
      <c r="F36" s="2">
        <f t="shared" si="6"/>
        <v>33072.700075439236</v>
      </c>
      <c r="G36" s="2">
        <f t="shared" si="5"/>
        <v>193072.70007543924</v>
      </c>
      <c r="H36">
        <v>1.1885544800000001</v>
      </c>
      <c r="I36" s="3">
        <v>243.1105</v>
      </c>
      <c r="J36" s="2">
        <f t="shared" si="4"/>
        <v>794.17672241815649</v>
      </c>
      <c r="K36" s="2"/>
      <c r="L36" s="2"/>
      <c r="M36" s="2"/>
      <c r="N36" s="2"/>
    </row>
    <row r="37" spans="1:17" x14ac:dyDescent="0.3">
      <c r="A37" s="7"/>
      <c r="B37" s="11">
        <v>45987</v>
      </c>
      <c r="C37" s="3">
        <v>162443.29</v>
      </c>
      <c r="D37" s="2">
        <v>160000</v>
      </c>
      <c r="E37" s="2">
        <f t="shared" si="1"/>
        <v>367.06985354717472</v>
      </c>
      <c r="F37" s="2">
        <f t="shared" si="6"/>
        <v>33439.76992898641</v>
      </c>
      <c r="G37" s="2">
        <f t="shared" si="5"/>
        <v>193439.76992898641</v>
      </c>
      <c r="H37">
        <v>1.19081416</v>
      </c>
      <c r="I37" s="3">
        <v>243.5727</v>
      </c>
      <c r="J37" s="2">
        <f t="shared" si="4"/>
        <v>794.17672805280074</v>
      </c>
      <c r="K37" s="2"/>
      <c r="L37" s="2"/>
      <c r="M37" s="2"/>
      <c r="N37" s="2"/>
    </row>
    <row r="38" spans="1:17" x14ac:dyDescent="0.3">
      <c r="A38" s="7"/>
      <c r="B38" s="11">
        <v>45988</v>
      </c>
      <c r="C38" s="3">
        <v>162443.29</v>
      </c>
      <c r="D38" s="2">
        <v>160000</v>
      </c>
      <c r="E38" s="2">
        <f t="shared" si="1"/>
        <v>855.88445521777612</v>
      </c>
      <c r="F38" s="2">
        <f t="shared" si="6"/>
        <v>34295.654384204186</v>
      </c>
      <c r="G38" s="2">
        <f t="shared" si="5"/>
        <v>194295.65438420419</v>
      </c>
      <c r="H38">
        <v>1.1960829799999999</v>
      </c>
      <c r="I38" s="3">
        <v>244.65039999999999</v>
      </c>
      <c r="J38" s="2">
        <f t="shared" si="4"/>
        <v>794.17672885147215</v>
      </c>
      <c r="K38" s="2"/>
      <c r="L38" s="7"/>
      <c r="M38" s="2"/>
      <c r="N38" s="2"/>
    </row>
    <row r="39" spans="1:17" x14ac:dyDescent="0.3">
      <c r="A39" s="7"/>
      <c r="B39" s="11">
        <v>45989</v>
      </c>
      <c r="C39" s="3">
        <v>162443.29</v>
      </c>
      <c r="D39" s="2">
        <v>160000</v>
      </c>
      <c r="E39" s="2">
        <f t="shared" si="1"/>
        <v>809.50364705701941</v>
      </c>
      <c r="F39" s="2">
        <f t="shared" si="6"/>
        <v>35105.158031261206</v>
      </c>
      <c r="G39" s="2">
        <f t="shared" si="5"/>
        <v>195105.15803126121</v>
      </c>
      <c r="H39">
        <v>1.20106628</v>
      </c>
      <c r="I39" s="3">
        <v>245.66970000000001</v>
      </c>
      <c r="J39" s="2">
        <f t="shared" si="4"/>
        <v>794.17672603199014</v>
      </c>
      <c r="K39" s="2"/>
      <c r="L39" s="2"/>
      <c r="M39" s="2"/>
      <c r="N39" s="2"/>
      <c r="O39" s="2"/>
      <c r="P39" s="2"/>
      <c r="Q39" s="2"/>
    </row>
    <row r="40" spans="1:17" s="5" customFormat="1" x14ac:dyDescent="0.3">
      <c r="A40" s="7"/>
      <c r="B40" s="11">
        <v>45992</v>
      </c>
      <c r="C40" s="3">
        <v>162443.29</v>
      </c>
      <c r="D40" s="2">
        <v>160000</v>
      </c>
      <c r="E40" s="2">
        <f t="shared" si="1"/>
        <v>1294.9849124168104</v>
      </c>
      <c r="F40" s="2">
        <f t="shared" si="6"/>
        <v>36400.142943678016</v>
      </c>
      <c r="G40" s="2">
        <f t="shared" si="5"/>
        <v>196400.14294367802</v>
      </c>
      <c r="H40">
        <v>1.2090382</v>
      </c>
      <c r="I40" s="3">
        <v>247.30029999999999</v>
      </c>
      <c r="J40" s="2">
        <f t="shared" si="4"/>
        <v>794.17672741876186</v>
      </c>
      <c r="K40" s="2"/>
      <c r="L40" s="2"/>
      <c r="M40"/>
      <c r="N40" s="2"/>
      <c r="O40" s="2"/>
      <c r="P40" s="2"/>
      <c r="Q40" s="2"/>
    </row>
    <row r="41" spans="1:17" x14ac:dyDescent="0.3">
      <c r="A41" s="7"/>
      <c r="B41" s="11">
        <v>45993</v>
      </c>
      <c r="C41" s="3">
        <v>162443.29</v>
      </c>
      <c r="D41" s="2">
        <v>160000</v>
      </c>
      <c r="E41" s="2">
        <f t="shared" si="1"/>
        <v>84.818139440583764</v>
      </c>
      <c r="F41" s="2">
        <f t="shared" si="6"/>
        <v>36484.9610831186</v>
      </c>
      <c r="G41" s="2">
        <f t="shared" si="5"/>
        <v>196484.9610831186</v>
      </c>
      <c r="H41">
        <v>1.2095603399999999</v>
      </c>
      <c r="I41" s="3">
        <v>247.40710000000001</v>
      </c>
      <c r="J41" s="2">
        <f t="shared" si="4"/>
        <v>794.17672768129364</v>
      </c>
      <c r="K41" s="2"/>
      <c r="L41" s="2"/>
      <c r="N41" s="2"/>
      <c r="O41" s="2"/>
      <c r="P41" s="2"/>
      <c r="Q41" s="2"/>
    </row>
    <row r="42" spans="1:17" x14ac:dyDescent="0.3">
      <c r="B42" s="11">
        <v>45994</v>
      </c>
      <c r="C42" s="3">
        <v>162443.29</v>
      </c>
      <c r="D42" s="2">
        <v>160000</v>
      </c>
      <c r="E42" s="2">
        <f t="shared" si="1"/>
        <v>1423.0048448329035</v>
      </c>
      <c r="F42" s="2">
        <f t="shared" si="6"/>
        <v>37907.965927951504</v>
      </c>
      <c r="G42" s="2">
        <f t="shared" si="5"/>
        <v>197907.9659279515</v>
      </c>
      <c r="H42">
        <v>1.2183203499999999</v>
      </c>
      <c r="I42" s="3">
        <v>249.19890000000001</v>
      </c>
      <c r="J42" s="2">
        <f t="shared" si="4"/>
        <v>794.17672360492566</v>
      </c>
      <c r="K42" s="2"/>
      <c r="L42" s="2"/>
      <c r="O42" s="2"/>
      <c r="P42" s="2"/>
      <c r="Q42" s="2"/>
    </row>
    <row r="43" spans="1:17" x14ac:dyDescent="0.3">
      <c r="B43" s="11">
        <v>45995</v>
      </c>
      <c r="C43" s="3">
        <v>162443.29</v>
      </c>
      <c r="D43" s="2">
        <v>160000</v>
      </c>
      <c r="E43" s="2">
        <f t="shared" si="1"/>
        <v>2134.5893011108274</v>
      </c>
      <c r="F43" s="2">
        <f t="shared" si="6"/>
        <v>40042.555229062331</v>
      </c>
      <c r="G43" s="2">
        <f t="shared" si="5"/>
        <v>200042.55522906233</v>
      </c>
      <c r="H43">
        <v>1.23146087</v>
      </c>
      <c r="I43" s="3">
        <v>251.88669999999999</v>
      </c>
      <c r="J43" s="2">
        <f t="shared" si="4"/>
        <v>794.17672798548847</v>
      </c>
      <c r="K43" s="2"/>
      <c r="L43" s="2"/>
      <c r="O43" s="2"/>
      <c r="P43" s="2"/>
      <c r="Q43" s="2"/>
    </row>
    <row r="44" spans="1:17" x14ac:dyDescent="0.3">
      <c r="B44" s="11">
        <v>45996</v>
      </c>
      <c r="C44" s="3">
        <v>162443.29</v>
      </c>
      <c r="D44" s="2">
        <v>160000</v>
      </c>
      <c r="E44" s="2">
        <f t="shared" si="1"/>
        <v>2369.6642349355971</v>
      </c>
      <c r="F44" s="2">
        <f t="shared" si="6"/>
        <v>42412.219463997928</v>
      </c>
      <c r="G44" s="2">
        <f t="shared" si="5"/>
        <v>202412.21946399793</v>
      </c>
      <c r="H44">
        <v>1.2460485100000001</v>
      </c>
      <c r="I44" s="3">
        <v>254.87049999999999</v>
      </c>
      <c r="J44" s="2">
        <f t="shared" si="4"/>
        <v>794.17672686324204</v>
      </c>
      <c r="K44" s="2"/>
      <c r="L44" s="2"/>
      <c r="O44" s="2"/>
      <c r="P44" s="2"/>
      <c r="Q44" s="2"/>
    </row>
    <row r="45" spans="1:17" x14ac:dyDescent="0.3">
      <c r="B45" s="11">
        <v>46000</v>
      </c>
      <c r="C45" s="3">
        <v>162443.29</v>
      </c>
      <c r="D45" s="2">
        <v>160000</v>
      </c>
      <c r="E45" s="2">
        <f t="shared" si="1"/>
        <v>2428.7513572401658</v>
      </c>
      <c r="F45" s="2">
        <f t="shared" si="6"/>
        <v>44840.970821238094</v>
      </c>
      <c r="G45" s="2">
        <f t="shared" si="5"/>
        <v>204840.97082123809</v>
      </c>
      <c r="H45">
        <v>1.2609998899999999</v>
      </c>
      <c r="I45" s="3">
        <v>257.92869999999999</v>
      </c>
      <c r="J45" s="2">
        <f t="shared" si="4"/>
        <v>794.17672721662268</v>
      </c>
      <c r="K45" s="2"/>
      <c r="L45" s="2"/>
      <c r="O45" s="2"/>
      <c r="P45" s="2"/>
      <c r="Q45" s="2"/>
    </row>
    <row r="46" spans="1:17" x14ac:dyDescent="0.3">
      <c r="B46" s="11">
        <v>46001</v>
      </c>
      <c r="C46" s="3">
        <v>162443.29</v>
      </c>
      <c r="D46" s="2">
        <v>160000</v>
      </c>
      <c r="E46" s="2">
        <f t="shared" si="1"/>
        <v>3315.6072501294257</v>
      </c>
      <c r="F46" s="2">
        <f t="shared" si="6"/>
        <v>48156.578071367519</v>
      </c>
      <c r="G46" s="2">
        <f t="shared" si="5"/>
        <v>208156.57807136752</v>
      </c>
      <c r="H46">
        <v>1.28141075</v>
      </c>
      <c r="I46" s="3">
        <v>262.10359999999997</v>
      </c>
      <c r="J46" s="2">
        <f t="shared" si="4"/>
        <v>794.17672275912093</v>
      </c>
      <c r="K46" s="2"/>
      <c r="L46" s="2"/>
      <c r="O46" s="2"/>
      <c r="P46" s="2"/>
      <c r="Q46" s="2"/>
    </row>
    <row r="47" spans="1:17" x14ac:dyDescent="0.3">
      <c r="B47" s="11">
        <v>46002</v>
      </c>
      <c r="C47" s="3">
        <v>162443.29</v>
      </c>
      <c r="D47" s="2">
        <v>160000</v>
      </c>
      <c r="E47" s="2">
        <f t="shared" si="1"/>
        <v>2352.8286123599974</v>
      </c>
      <c r="F47" s="2">
        <f t="shared" si="6"/>
        <v>50509.406683727517</v>
      </c>
      <c r="G47" s="2">
        <f t="shared" si="5"/>
        <v>210509.40668372752</v>
      </c>
      <c r="H47">
        <v>1.29589475</v>
      </c>
      <c r="I47" s="3">
        <v>265.06619999999998</v>
      </c>
      <c r="J47" s="2">
        <f t="shared" si="4"/>
        <v>794.17672522459497</v>
      </c>
      <c r="K47" s="2"/>
      <c r="L47" s="2"/>
      <c r="O47" s="2"/>
      <c r="P47" s="2"/>
      <c r="Q47" s="2"/>
    </row>
    <row r="48" spans="1:17" ht="16.2" x14ac:dyDescent="0.45">
      <c r="B48" s="11">
        <v>46003</v>
      </c>
      <c r="C48" s="3">
        <v>162443.29</v>
      </c>
      <c r="D48" s="2">
        <v>160000</v>
      </c>
      <c r="E48" s="2">
        <f t="shared" si="1"/>
        <v>2131.3323131462967</v>
      </c>
      <c r="F48" s="2">
        <f t="shared" si="6"/>
        <v>52640.738996873813</v>
      </c>
      <c r="G48" s="2">
        <f t="shared" si="5"/>
        <v>212640.73899687381</v>
      </c>
      <c r="H48">
        <v>1.30901522</v>
      </c>
      <c r="I48" s="3">
        <v>267.74990000000003</v>
      </c>
      <c r="J48" s="2">
        <f t="shared" si="4"/>
        <v>794.17672610474847</v>
      </c>
      <c r="K48" s="27"/>
      <c r="O48" s="2"/>
      <c r="P48" s="2"/>
      <c r="Q48" s="2"/>
    </row>
    <row r="49" spans="1:17" x14ac:dyDescent="0.3">
      <c r="A49" s="7"/>
      <c r="B49" s="11">
        <v>46006</v>
      </c>
      <c r="C49" s="3">
        <v>162443.29</v>
      </c>
      <c r="D49" s="2">
        <v>160000</v>
      </c>
      <c r="E49" s="2">
        <f>+F49-F48</f>
        <v>2413.8211944563081</v>
      </c>
      <c r="F49" s="2">
        <f>+C48*H49-$D$31</f>
        <v>55054.560191330122</v>
      </c>
      <c r="G49" s="2">
        <f>$D$31+F49</f>
        <v>215054.56019133012</v>
      </c>
      <c r="H49">
        <v>1.32387469</v>
      </c>
      <c r="I49" s="3">
        <v>270.78930000000003</v>
      </c>
      <c r="J49" s="2">
        <f>+G49/I49</f>
        <v>794.17672777812902</v>
      </c>
      <c r="K49" s="2"/>
      <c r="O49" s="2"/>
      <c r="P49" s="2"/>
      <c r="Q49" s="2"/>
    </row>
    <row r="50" spans="1:17" x14ac:dyDescent="0.3">
      <c r="B50" s="11">
        <v>46007</v>
      </c>
      <c r="C50" s="3">
        <v>162443.29</v>
      </c>
      <c r="D50" s="2">
        <v>160000</v>
      </c>
      <c r="E50" s="2">
        <f>+F50-F49</f>
        <v>2221.1537059188995</v>
      </c>
      <c r="F50" s="2">
        <f t="shared" ref="F50:F113" si="7">+G50-D50</f>
        <v>57275.713897249021</v>
      </c>
      <c r="G50" s="2">
        <f t="shared" ref="G50:G113" si="8">+C50*H50</f>
        <v>217275.71389724902</v>
      </c>
      <c r="H50">
        <v>1.3375481</v>
      </c>
      <c r="I50" s="3">
        <v>273.58609999999999</v>
      </c>
      <c r="J50" s="2">
        <f t="shared" ref="J50:J113" si="9">+G50/I50</f>
        <v>794.17672863222595</v>
      </c>
      <c r="K50" s="2"/>
      <c r="L50" s="2"/>
      <c r="M50" s="2"/>
      <c r="N50" s="2"/>
      <c r="O50" s="2"/>
      <c r="P50" s="2"/>
      <c r="Q50" s="2"/>
    </row>
    <row r="51" spans="1:17" x14ac:dyDescent="0.3">
      <c r="B51" s="11">
        <v>46008</v>
      </c>
      <c r="C51" s="3">
        <v>162443.29</v>
      </c>
      <c r="D51" s="2">
        <v>160000</v>
      </c>
      <c r="E51" s="2">
        <f t="shared" si="1"/>
        <v>2375.2230443193694</v>
      </c>
      <c r="F51" s="2">
        <f t="shared" si="7"/>
        <v>59650.93694156839</v>
      </c>
      <c r="G51" s="2">
        <f t="shared" si="8"/>
        <v>219650.93694156839</v>
      </c>
      <c r="H51">
        <v>1.3521699599999999</v>
      </c>
      <c r="I51" s="3">
        <v>276.57690000000002</v>
      </c>
      <c r="J51" s="2">
        <f t="shared" si="9"/>
        <v>794.17672604461313</v>
      </c>
      <c r="K51" s="2"/>
      <c r="L51" s="2"/>
      <c r="M51" s="2"/>
      <c r="N51" s="2"/>
      <c r="O51" s="2"/>
      <c r="P51" s="2"/>
      <c r="Q51" s="2"/>
    </row>
    <row r="52" spans="1:17" x14ac:dyDescent="0.3">
      <c r="B52" s="11">
        <v>46009</v>
      </c>
      <c r="C52" s="3">
        <v>162443.29</v>
      </c>
      <c r="D52" s="2">
        <v>160000</v>
      </c>
      <c r="E52" s="2">
        <f t="shared" si="1"/>
        <v>2371.4121247360308</v>
      </c>
      <c r="F52" s="2">
        <f t="shared" si="7"/>
        <v>62022.349066304421</v>
      </c>
      <c r="G52" s="2">
        <f t="shared" si="8"/>
        <v>222022.34906630442</v>
      </c>
      <c r="H52">
        <v>1.36676836</v>
      </c>
      <c r="I52" s="3">
        <v>279.56290000000001</v>
      </c>
      <c r="J52" s="2">
        <f t="shared" si="9"/>
        <v>794.17672754970135</v>
      </c>
      <c r="K52" s="2"/>
      <c r="L52" s="2"/>
      <c r="M52" s="2"/>
      <c r="N52" s="2"/>
      <c r="O52" s="2"/>
      <c r="P52" s="2"/>
      <c r="Q52" s="2"/>
    </row>
    <row r="53" spans="1:17" x14ac:dyDescent="0.3">
      <c r="B53" s="11">
        <v>46010</v>
      </c>
      <c r="C53" s="3">
        <v>162443.29</v>
      </c>
      <c r="D53" s="2">
        <v>160000</v>
      </c>
      <c r="E53" s="2">
        <f t="shared" si="1"/>
        <v>2342.7408840509597</v>
      </c>
      <c r="F53" s="2">
        <f t="shared" si="7"/>
        <v>64365.089950355381</v>
      </c>
      <c r="G53" s="2">
        <f t="shared" si="8"/>
        <v>224365.08995035538</v>
      </c>
      <c r="H53">
        <v>1.3811902599999999</v>
      </c>
      <c r="I53" s="3">
        <v>282.51280000000003</v>
      </c>
      <c r="J53" s="2">
        <f t="shared" si="9"/>
        <v>794.17672385235414</v>
      </c>
      <c r="K53" s="2"/>
      <c r="L53" s="2"/>
      <c r="M53" s="2"/>
      <c r="N53" s="2"/>
      <c r="O53" s="2"/>
      <c r="P53" s="2"/>
      <c r="Q53" s="2"/>
    </row>
    <row r="54" spans="1:17" x14ac:dyDescent="0.3">
      <c r="B54" s="11">
        <v>46013</v>
      </c>
      <c r="C54" s="3">
        <v>162443.29</v>
      </c>
      <c r="D54" s="2">
        <v>160000</v>
      </c>
      <c r="E54" s="2">
        <f t="shared" si="1"/>
        <v>2294.8542265919095</v>
      </c>
      <c r="F54" s="2">
        <f t="shared" si="7"/>
        <v>66659.944176947291</v>
      </c>
      <c r="G54" s="2">
        <f t="shared" si="8"/>
        <v>226659.94417694729</v>
      </c>
      <c r="H54">
        <v>1.3953173699999999</v>
      </c>
      <c r="I54" s="3">
        <v>285.4024</v>
      </c>
      <c r="J54" s="2">
        <f t="shared" si="9"/>
        <v>794.17672793552993</v>
      </c>
      <c r="K54" s="2"/>
      <c r="L54" s="2"/>
      <c r="M54" s="2"/>
      <c r="N54" s="2"/>
      <c r="O54" s="2"/>
      <c r="P54" s="2"/>
      <c r="Q54" s="2"/>
    </row>
    <row r="55" spans="1:17" x14ac:dyDescent="0.3">
      <c r="B55" s="11">
        <v>46014</v>
      </c>
      <c r="C55" s="3">
        <v>162443.29</v>
      </c>
      <c r="D55" s="2">
        <v>160000</v>
      </c>
      <c r="E55" s="2">
        <f t="shared" si="1"/>
        <v>2419.8559626798087</v>
      </c>
      <c r="F55" s="2">
        <f t="shared" si="7"/>
        <v>69079.800139627099</v>
      </c>
      <c r="G55" s="2">
        <f t="shared" si="8"/>
        <v>229079.8001396271</v>
      </c>
      <c r="H55">
        <v>1.4102139899999999</v>
      </c>
      <c r="I55" s="3">
        <v>288.44940000000003</v>
      </c>
      <c r="J55" s="2">
        <f t="shared" si="9"/>
        <v>794.17672610734178</v>
      </c>
      <c r="K55" s="2"/>
      <c r="L55" s="2"/>
      <c r="M55" s="2"/>
      <c r="N55" s="2"/>
      <c r="O55" s="2"/>
      <c r="P55" s="2"/>
      <c r="Q55" s="2"/>
    </row>
    <row r="56" spans="1:17" x14ac:dyDescent="0.3">
      <c r="B56" s="11">
        <v>46017</v>
      </c>
      <c r="C56" s="3">
        <v>162443.29</v>
      </c>
      <c r="D56" s="2">
        <v>160000</v>
      </c>
      <c r="E56" s="2">
        <f t="shared" si="1"/>
        <v>2305.4942620868969</v>
      </c>
      <c r="F56" s="2">
        <f t="shared" si="7"/>
        <v>71385.294401713996</v>
      </c>
      <c r="G56" s="2">
        <f t="shared" si="8"/>
        <v>231385.294401714</v>
      </c>
      <c r="H56">
        <v>1.4244066</v>
      </c>
      <c r="I56" s="3">
        <v>291.35239999999999</v>
      </c>
      <c r="J56" s="2">
        <f t="shared" si="9"/>
        <v>794.17672345144229</v>
      </c>
      <c r="K56" s="2"/>
      <c r="L56" s="2"/>
      <c r="M56" s="2"/>
      <c r="N56" s="2"/>
      <c r="O56" s="2"/>
      <c r="P56" s="2"/>
      <c r="Q56" s="2"/>
    </row>
    <row r="57" spans="1:17" x14ac:dyDescent="0.3">
      <c r="B57" s="11">
        <v>46020</v>
      </c>
      <c r="C57" s="3">
        <v>162443.29</v>
      </c>
      <c r="D57" s="2">
        <v>160000</v>
      </c>
      <c r="E57" s="2">
        <f t="shared" si="1"/>
        <v>2872.9346649833024</v>
      </c>
      <c r="F57" s="2">
        <f t="shared" si="7"/>
        <v>74258.229066697299</v>
      </c>
      <c r="G57" s="2">
        <f t="shared" si="8"/>
        <v>234258.2290666973</v>
      </c>
      <c r="H57">
        <v>1.4420923699999999</v>
      </c>
      <c r="I57" s="3">
        <v>294.9699</v>
      </c>
      <c r="J57" s="2">
        <f t="shared" si="9"/>
        <v>794.17672469868046</v>
      </c>
      <c r="K57" s="2"/>
      <c r="L57" s="2"/>
      <c r="M57" s="2"/>
      <c r="N57" s="2"/>
      <c r="O57" s="2"/>
      <c r="P57" s="2"/>
      <c r="Q57" s="2"/>
    </row>
    <row r="58" spans="1:17" x14ac:dyDescent="0.3">
      <c r="B58" s="11">
        <v>46021</v>
      </c>
      <c r="C58" s="3">
        <v>162443.29</v>
      </c>
      <c r="D58" s="2">
        <v>160000</v>
      </c>
      <c r="E58" s="2">
        <f t="shared" si="1"/>
        <v>2520.0818481769238</v>
      </c>
      <c r="F58" s="2">
        <f t="shared" si="7"/>
        <v>76778.310914874222</v>
      </c>
      <c r="G58" s="2">
        <f t="shared" si="8"/>
        <v>236778.31091487422</v>
      </c>
      <c r="H58" s="5">
        <v>1.4576059800000001</v>
      </c>
      <c r="I58" s="3">
        <v>298.1431</v>
      </c>
      <c r="J58" s="2">
        <f t="shared" si="9"/>
        <v>794.17672558873312</v>
      </c>
      <c r="K58" s="2"/>
      <c r="L58" s="2"/>
      <c r="M58" s="2"/>
      <c r="N58" s="2"/>
      <c r="O58" s="2"/>
      <c r="P58" s="2"/>
      <c r="Q58" s="2"/>
    </row>
    <row r="59" spans="1:17" x14ac:dyDescent="0.3">
      <c r="B59" s="11">
        <v>46024</v>
      </c>
      <c r="C59" s="3">
        <v>162443.29</v>
      </c>
      <c r="D59" s="2">
        <v>160000</v>
      </c>
      <c r="E59" s="2">
        <f t="shared" si="1"/>
        <v>2563.4444600094866</v>
      </c>
      <c r="F59" s="2">
        <f t="shared" si="7"/>
        <v>79341.755374883709</v>
      </c>
      <c r="G59" s="2">
        <f t="shared" si="8"/>
        <v>239341.75537488371</v>
      </c>
      <c r="H59" s="5">
        <v>1.47338653</v>
      </c>
      <c r="I59" s="3">
        <v>301.37090000000001</v>
      </c>
      <c r="J59" s="2">
        <f t="shared" si="9"/>
        <v>794.17672832673532</v>
      </c>
      <c r="K59" s="2"/>
      <c r="L59" s="2"/>
      <c r="M59" s="2"/>
      <c r="N59" s="2"/>
      <c r="O59" s="2"/>
      <c r="P59" s="2"/>
      <c r="Q59" s="2"/>
    </row>
    <row r="60" spans="1:17" s="5" customFormat="1" x14ac:dyDescent="0.3">
      <c r="B60" s="11">
        <v>46027</v>
      </c>
      <c r="C60" s="3">
        <v>162443.29</v>
      </c>
      <c r="D60" s="2">
        <v>160000</v>
      </c>
      <c r="E60" s="2">
        <f t="shared" si="1"/>
        <v>2627.6924056374119</v>
      </c>
      <c r="F60" s="2">
        <f t="shared" si="7"/>
        <v>81969.447780521121</v>
      </c>
      <c r="G60" s="2">
        <f t="shared" si="8"/>
        <v>241969.44778052112</v>
      </c>
      <c r="H60" s="5">
        <v>1.48956259</v>
      </c>
      <c r="I60" s="3">
        <v>304.67959999999999</v>
      </c>
      <c r="J60" s="2">
        <f t="shared" si="9"/>
        <v>794.17672788240873</v>
      </c>
      <c r="K60" s="2"/>
      <c r="L60" s="2"/>
      <c r="M60" s="2"/>
      <c r="N60" s="2"/>
      <c r="O60" s="2"/>
      <c r="P60" s="2"/>
      <c r="Q60" s="2"/>
    </row>
    <row r="61" spans="1:17" x14ac:dyDescent="0.3">
      <c r="B61" s="11">
        <v>46028</v>
      </c>
      <c r="C61" s="3">
        <v>162443.29</v>
      </c>
      <c r="D61" s="2">
        <v>160000</v>
      </c>
      <c r="E61" s="2">
        <f t="shared" si="1"/>
        <v>2759.7636737060966</v>
      </c>
      <c r="F61" s="2">
        <f t="shared" si="7"/>
        <v>84729.211454227217</v>
      </c>
      <c r="G61" s="2">
        <f t="shared" si="8"/>
        <v>244729.21145422722</v>
      </c>
      <c r="H61" s="5">
        <v>1.5065516800000001</v>
      </c>
      <c r="I61" s="3">
        <v>308.15460000000002</v>
      </c>
      <c r="J61" s="2">
        <f t="shared" si="9"/>
        <v>794.17672640365322</v>
      </c>
      <c r="K61" s="2"/>
      <c r="L61" s="2"/>
      <c r="M61" s="2"/>
      <c r="N61" s="2"/>
      <c r="O61" s="2"/>
      <c r="P61" s="2"/>
      <c r="Q61" s="2"/>
    </row>
    <row r="62" spans="1:17" x14ac:dyDescent="0.3">
      <c r="B62" s="11">
        <v>46029</v>
      </c>
      <c r="C62" s="3">
        <v>162443.29</v>
      </c>
      <c r="D62" s="2">
        <v>160000</v>
      </c>
      <c r="E62" s="2">
        <f t="shared" si="1"/>
        <v>2959.7378614277113</v>
      </c>
      <c r="F62" s="2">
        <f t="shared" si="7"/>
        <v>87688.949315654929</v>
      </c>
      <c r="G62" s="2">
        <f t="shared" si="8"/>
        <v>247688.94931565493</v>
      </c>
      <c r="H62" s="5">
        <v>1.5247718100000001</v>
      </c>
      <c r="I62" s="3">
        <v>311.88139999999999</v>
      </c>
      <c r="J62" s="2">
        <f t="shared" si="9"/>
        <v>794.17672652378417</v>
      </c>
      <c r="K62" s="2"/>
      <c r="L62" s="2"/>
      <c r="M62" s="2"/>
      <c r="N62" s="2"/>
      <c r="O62" s="2"/>
      <c r="P62" s="2"/>
      <c r="Q62" s="2"/>
    </row>
    <row r="63" spans="1:17" x14ac:dyDescent="0.3">
      <c r="B63" s="11">
        <v>46030</v>
      </c>
      <c r="C63" s="3">
        <v>162443.29</v>
      </c>
      <c r="D63" s="2">
        <v>160000</v>
      </c>
      <c r="E63" s="2">
        <f t="shared" si="1"/>
        <v>7267.4317677082727</v>
      </c>
      <c r="F63" s="2">
        <f t="shared" si="7"/>
        <v>94956.381083363201</v>
      </c>
      <c r="G63" s="2">
        <f t="shared" si="8"/>
        <v>254956.3810833632</v>
      </c>
      <c r="H63" s="5">
        <v>1.5695100799999999</v>
      </c>
      <c r="I63" s="3">
        <v>321.03230000000002</v>
      </c>
      <c r="J63" s="2">
        <f t="shared" si="9"/>
        <v>794.17672640218188</v>
      </c>
      <c r="K63" s="2"/>
      <c r="L63" s="2"/>
      <c r="M63" s="2"/>
      <c r="N63" s="2"/>
      <c r="O63" s="2"/>
      <c r="P63" s="2"/>
      <c r="Q63" s="2"/>
    </row>
    <row r="64" spans="1:17" x14ac:dyDescent="0.3">
      <c r="B64" s="11">
        <v>46031</v>
      </c>
      <c r="C64" s="3">
        <v>162443.29</v>
      </c>
      <c r="D64" s="2">
        <v>160000</v>
      </c>
      <c r="E64" s="2">
        <f t="shared" si="1"/>
        <v>3460.3068595627265</v>
      </c>
      <c r="F64" s="2">
        <f t="shared" si="7"/>
        <v>98416.687942925928</v>
      </c>
      <c r="G64" s="2">
        <f t="shared" si="8"/>
        <v>258416.68794292593</v>
      </c>
      <c r="H64" s="5">
        <v>1.5908117100000001</v>
      </c>
      <c r="I64" s="3">
        <v>325.38940000000002</v>
      </c>
      <c r="J64" s="2">
        <f t="shared" si="9"/>
        <v>794.17672469639729</v>
      </c>
      <c r="K64" s="2"/>
      <c r="L64" s="2"/>
      <c r="M64" s="2"/>
      <c r="N64" s="2"/>
      <c r="O64" s="2"/>
      <c r="P64" s="2"/>
      <c r="Q64" s="2"/>
    </row>
    <row r="65" spans="1:17" x14ac:dyDescent="0.3">
      <c r="B65" s="11">
        <v>46035</v>
      </c>
      <c r="C65" s="3">
        <v>162443.29</v>
      </c>
      <c r="D65" s="2">
        <v>160000</v>
      </c>
      <c r="E65" s="2">
        <f t="shared" si="1"/>
        <v>3959.5275783906982</v>
      </c>
      <c r="F65" s="2">
        <f t="shared" si="7"/>
        <v>102376.21552131663</v>
      </c>
      <c r="G65" s="2">
        <f t="shared" si="8"/>
        <v>262376.21552131663</v>
      </c>
      <c r="H65" s="5">
        <v>1.6151865400000001</v>
      </c>
      <c r="I65" s="3">
        <v>330.37509999999997</v>
      </c>
      <c r="J65" s="2">
        <f t="shared" si="9"/>
        <v>794.17672676093525</v>
      </c>
      <c r="K65" s="2"/>
      <c r="L65" s="2"/>
      <c r="M65" s="2"/>
      <c r="N65" s="2"/>
      <c r="O65" s="2"/>
      <c r="P65" s="2"/>
      <c r="Q65" s="2"/>
    </row>
    <row r="66" spans="1:17" x14ac:dyDescent="0.3">
      <c r="B66" s="11">
        <v>46036</v>
      </c>
      <c r="C66" s="3">
        <v>162443.29</v>
      </c>
      <c r="D66" s="2">
        <v>160000</v>
      </c>
      <c r="E66" s="2">
        <f t="shared" si="1"/>
        <v>4832.1680589719908</v>
      </c>
      <c r="F66" s="2">
        <f t="shared" si="7"/>
        <v>107208.38358028862</v>
      </c>
      <c r="G66" s="2">
        <f t="shared" si="8"/>
        <v>267208.38358028862</v>
      </c>
      <c r="H66" s="5">
        <v>1.6449333399999999</v>
      </c>
      <c r="I66" s="3">
        <v>336.45960000000002</v>
      </c>
      <c r="J66" s="2">
        <f t="shared" si="9"/>
        <v>794.17672606247106</v>
      </c>
      <c r="K66" s="2"/>
      <c r="L66" s="2"/>
      <c r="M66" s="2"/>
      <c r="N66" s="2"/>
      <c r="O66" s="2"/>
      <c r="P66" s="2"/>
      <c r="Q66" s="2"/>
    </row>
    <row r="67" spans="1:17" x14ac:dyDescent="0.3">
      <c r="B67" s="11">
        <v>46037</v>
      </c>
      <c r="C67" s="3">
        <v>162443.29</v>
      </c>
      <c r="D67" s="2">
        <v>160000</v>
      </c>
      <c r="E67" s="2">
        <f t="shared" si="1"/>
        <v>2136.2559692662326</v>
      </c>
      <c r="F67" s="2">
        <f t="shared" si="7"/>
        <v>109344.63954955485</v>
      </c>
      <c r="G67" s="2">
        <f t="shared" si="8"/>
        <v>269344.63954955485</v>
      </c>
      <c r="H67" s="5">
        <v>1.6580841200000001</v>
      </c>
      <c r="I67" s="3">
        <v>339.14949999999999</v>
      </c>
      <c r="J67" s="2">
        <f t="shared" si="9"/>
        <v>794.17672604428094</v>
      </c>
      <c r="K67" s="2"/>
      <c r="L67" s="2"/>
      <c r="M67" s="2"/>
      <c r="N67" s="2"/>
      <c r="O67" s="2"/>
      <c r="P67" s="2"/>
      <c r="Q67" s="2"/>
    </row>
    <row r="68" spans="1:17" x14ac:dyDescent="0.3">
      <c r="A68" s="12"/>
      <c r="B68" s="11">
        <v>46038</v>
      </c>
      <c r="C68" s="3">
        <v>162443.29</v>
      </c>
      <c r="D68" s="2">
        <v>160000</v>
      </c>
      <c r="E68" s="2">
        <f t="shared" si="1"/>
        <v>2059.300085061579</v>
      </c>
      <c r="F68" s="2">
        <f t="shared" si="7"/>
        <v>111403.93963461643</v>
      </c>
      <c r="G68" s="2">
        <f t="shared" si="8"/>
        <v>271403.93963461643</v>
      </c>
      <c r="H68" s="5">
        <v>1.6707611600000001</v>
      </c>
      <c r="I68" s="3">
        <v>341.74250000000001</v>
      </c>
      <c r="J68" s="2">
        <f t="shared" si="9"/>
        <v>794.1767255597897</v>
      </c>
      <c r="K68" s="2"/>
      <c r="L68" s="2"/>
      <c r="M68" s="2"/>
      <c r="N68" s="2"/>
      <c r="O68" s="2"/>
      <c r="P68" s="2"/>
      <c r="Q68" s="2"/>
    </row>
    <row r="69" spans="1:17" x14ac:dyDescent="0.3">
      <c r="A69" s="12"/>
      <c r="B69" s="11">
        <v>46042</v>
      </c>
      <c r="C69" s="3">
        <v>162443.29</v>
      </c>
      <c r="D69" s="2">
        <v>160000</v>
      </c>
      <c r="E69" s="2">
        <f t="shared" si="1"/>
        <v>2195.5802587742219</v>
      </c>
      <c r="F69" s="2">
        <f t="shared" si="7"/>
        <v>113599.51989339065</v>
      </c>
      <c r="G69" s="2">
        <f t="shared" si="8"/>
        <v>273599.51989339065</v>
      </c>
      <c r="H69" s="5">
        <v>1.6842771400000001</v>
      </c>
      <c r="I69" s="3">
        <v>344.50709999999998</v>
      </c>
      <c r="J69" s="2">
        <f t="shared" si="9"/>
        <v>794.17672347940197</v>
      </c>
      <c r="K69" s="2"/>
      <c r="L69" s="2"/>
      <c r="M69" s="2"/>
      <c r="N69" s="2"/>
      <c r="O69" s="2"/>
      <c r="P69" s="2"/>
      <c r="Q69" s="2"/>
    </row>
    <row r="70" spans="1:17" x14ac:dyDescent="0.3">
      <c r="A70" s="12"/>
      <c r="B70" s="11">
        <v>46043</v>
      </c>
      <c r="C70" s="3">
        <v>162443.29</v>
      </c>
      <c r="D70" s="2">
        <v>160000</v>
      </c>
      <c r="E70" s="2">
        <f t="shared" si="1"/>
        <v>2188.7511428625439</v>
      </c>
      <c r="F70" s="2">
        <f t="shared" si="7"/>
        <v>115788.27103625319</v>
      </c>
      <c r="G70" s="2">
        <f t="shared" si="8"/>
        <v>275788.27103625319</v>
      </c>
      <c r="H70">
        <v>1.69775108</v>
      </c>
      <c r="I70" s="3">
        <v>347.26310000000001</v>
      </c>
      <c r="J70" s="2">
        <f t="shared" si="9"/>
        <v>794.17672374707593</v>
      </c>
      <c r="K70" s="2"/>
      <c r="L70" s="2"/>
      <c r="M70" s="2"/>
      <c r="N70" s="2"/>
      <c r="O70" s="2"/>
      <c r="P70" s="2"/>
      <c r="Q70" s="2"/>
    </row>
    <row r="71" spans="1:17" x14ac:dyDescent="0.3">
      <c r="A71" s="12"/>
      <c r="B71" s="11">
        <v>46044</v>
      </c>
      <c r="C71" s="3">
        <v>162443.29</v>
      </c>
      <c r="D71" s="2">
        <v>160000</v>
      </c>
      <c r="E71" s="2">
        <f t="shared" si="1"/>
        <v>2115.7669970985153</v>
      </c>
      <c r="F71" s="2">
        <f t="shared" si="7"/>
        <v>117904.03803335171</v>
      </c>
      <c r="G71" s="2">
        <f t="shared" si="8"/>
        <v>277904.03803335171</v>
      </c>
      <c r="H71">
        <v>1.7107757299999999</v>
      </c>
      <c r="I71" s="3">
        <v>349.92720000000003</v>
      </c>
      <c r="J71" s="2">
        <f t="shared" si="9"/>
        <v>794.17672599715513</v>
      </c>
      <c r="K71" s="2"/>
      <c r="L71" s="2"/>
      <c r="M71" s="2"/>
      <c r="N71" s="2"/>
      <c r="O71" s="2"/>
      <c r="P71" s="2"/>
      <c r="Q71" s="2"/>
    </row>
    <row r="72" spans="1:17" x14ac:dyDescent="0.3">
      <c r="A72" s="12"/>
      <c r="B72" s="11">
        <v>46045</v>
      </c>
      <c r="C72" s="3">
        <v>162443.29</v>
      </c>
      <c r="D72" s="2">
        <v>160000</v>
      </c>
      <c r="E72" s="2">
        <f t="shared" si="1"/>
        <v>2207.0958636022988</v>
      </c>
      <c r="F72" s="2">
        <f t="shared" si="7"/>
        <v>120111.13389695401</v>
      </c>
      <c r="G72" s="2">
        <f t="shared" si="8"/>
        <v>280111.13389695401</v>
      </c>
      <c r="H72">
        <v>1.7243626000000001</v>
      </c>
      <c r="I72" s="3">
        <v>352.7063</v>
      </c>
      <c r="J72" s="2">
        <f t="shared" si="9"/>
        <v>794.17672408163401</v>
      </c>
      <c r="K72" s="2"/>
      <c r="L72" s="2"/>
      <c r="M72" s="2"/>
      <c r="N72" s="2"/>
      <c r="O72" s="2"/>
      <c r="P72" s="2"/>
      <c r="Q72" s="2"/>
    </row>
    <row r="73" spans="1:17" x14ac:dyDescent="0.3">
      <c r="A73" s="12"/>
      <c r="B73" s="11">
        <v>46048</v>
      </c>
      <c r="C73" s="3">
        <v>162443.29</v>
      </c>
      <c r="D73" s="2">
        <v>160000</v>
      </c>
      <c r="E73" s="2">
        <f t="shared" si="1"/>
        <v>2260.6241765231243</v>
      </c>
      <c r="F73" s="2">
        <f t="shared" si="7"/>
        <v>122371.75807347713</v>
      </c>
      <c r="G73" s="2">
        <f t="shared" si="8"/>
        <v>282371.75807347713</v>
      </c>
      <c r="H73">
        <v>1.73827899</v>
      </c>
      <c r="I73" s="3">
        <v>355.55279999999999</v>
      </c>
      <c r="J73" s="2">
        <f t="shared" si="9"/>
        <v>794.17672445126891</v>
      </c>
      <c r="K73" s="2"/>
      <c r="L73" s="2"/>
      <c r="M73" s="2"/>
      <c r="N73" s="2"/>
      <c r="O73" s="2"/>
      <c r="P73" s="2"/>
      <c r="Q73" s="2"/>
    </row>
    <row r="74" spans="1:17" x14ac:dyDescent="0.3">
      <c r="A74" s="12"/>
      <c r="B74" s="11">
        <v>46049</v>
      </c>
      <c r="C74" s="3">
        <v>162443.29</v>
      </c>
      <c r="D74" s="2">
        <v>160000</v>
      </c>
      <c r="E74" s="2">
        <f t="shared" si="1"/>
        <v>2677.8841333815944</v>
      </c>
      <c r="F74" s="2">
        <f t="shared" si="7"/>
        <v>125049.64220685873</v>
      </c>
      <c r="G74" s="2">
        <f t="shared" si="8"/>
        <v>285049.64220685873</v>
      </c>
      <c r="H74">
        <v>1.75476403</v>
      </c>
      <c r="I74" s="3">
        <v>358.92469999999997</v>
      </c>
      <c r="J74" s="2">
        <f t="shared" si="9"/>
        <v>794.17672343769812</v>
      </c>
      <c r="K74" s="2"/>
      <c r="L74" s="2"/>
      <c r="M74" s="2"/>
      <c r="N74" s="2"/>
      <c r="O74" s="2"/>
      <c r="P74" s="2"/>
      <c r="Q74" s="2"/>
    </row>
    <row r="75" spans="1:17" x14ac:dyDescent="0.3">
      <c r="A75" s="12"/>
      <c r="B75" s="11">
        <v>46050</v>
      </c>
      <c r="C75" s="3">
        <v>162443.29</v>
      </c>
      <c r="D75" s="2">
        <v>160000</v>
      </c>
      <c r="E75" s="2">
        <f t="shared" ref="E75:E138" si="10">+F75-F74</f>
        <v>2037.7795980023802</v>
      </c>
      <c r="F75" s="2">
        <f t="shared" si="7"/>
        <v>127087.42180486111</v>
      </c>
      <c r="G75" s="2">
        <f t="shared" si="8"/>
        <v>287087.42180486111</v>
      </c>
      <c r="H75">
        <v>1.7673085900000001</v>
      </c>
      <c r="I75" s="3">
        <v>361.49059999999997</v>
      </c>
      <c r="J75" s="2">
        <f t="shared" si="9"/>
        <v>794.17672770705826</v>
      </c>
      <c r="K75" s="2"/>
      <c r="L75" s="2"/>
      <c r="M75" s="2"/>
      <c r="N75" s="2"/>
      <c r="O75" s="2"/>
      <c r="P75" s="2"/>
      <c r="Q75" s="2"/>
    </row>
    <row r="76" spans="1:17" x14ac:dyDescent="0.3">
      <c r="A76" s="12"/>
      <c r="B76" s="11">
        <v>46051</v>
      </c>
      <c r="C76" s="3">
        <v>162443.29</v>
      </c>
      <c r="D76" s="2">
        <v>160000</v>
      </c>
      <c r="E76" s="2">
        <f t="shared" si="10"/>
        <v>1724.7123917827848</v>
      </c>
      <c r="F76" s="2">
        <f t="shared" si="7"/>
        <v>128812.13419664389</v>
      </c>
      <c r="G76" s="2">
        <f t="shared" si="8"/>
        <v>288812.13419664389</v>
      </c>
      <c r="H76">
        <v>1.77792591</v>
      </c>
      <c r="I76" s="3">
        <v>363.66230000000002</v>
      </c>
      <c r="J76" s="2">
        <f t="shared" si="9"/>
        <v>794.17672438590387</v>
      </c>
      <c r="K76" s="2"/>
      <c r="L76" s="2"/>
      <c r="M76" s="2"/>
      <c r="N76" s="2"/>
      <c r="O76" s="2"/>
      <c r="P76" s="2"/>
      <c r="Q76" s="2"/>
    </row>
    <row r="77" spans="1:17" x14ac:dyDescent="0.3">
      <c r="A77" s="12"/>
      <c r="B77" s="11">
        <v>46052</v>
      </c>
      <c r="C77" s="3">
        <v>162443.29</v>
      </c>
      <c r="D77" s="2">
        <v>160000</v>
      </c>
      <c r="E77" s="2">
        <f t="shared" si="10"/>
        <v>2894.4567764754174</v>
      </c>
      <c r="F77" s="2">
        <f t="shared" si="7"/>
        <v>131706.59097311931</v>
      </c>
      <c r="G77" s="2">
        <f t="shared" si="8"/>
        <v>291706.59097311931</v>
      </c>
      <c r="H77">
        <v>1.7957441700000001</v>
      </c>
      <c r="I77" s="3">
        <v>367.30689999999998</v>
      </c>
      <c r="J77" s="2">
        <f t="shared" si="9"/>
        <v>794.17672516666391</v>
      </c>
      <c r="K77" s="2"/>
      <c r="L77" s="2"/>
      <c r="M77" s="2"/>
      <c r="N77" s="2"/>
      <c r="O77" s="2"/>
      <c r="P77" s="2"/>
      <c r="Q77" s="2"/>
    </row>
    <row r="78" spans="1:17" x14ac:dyDescent="0.3">
      <c r="A78" s="12"/>
      <c r="B78" s="11">
        <v>46055</v>
      </c>
      <c r="C78" s="3">
        <v>162443.29</v>
      </c>
      <c r="D78" s="2">
        <v>160000</v>
      </c>
      <c r="E78" s="2">
        <f t="shared" si="10"/>
        <v>2340.835424259305</v>
      </c>
      <c r="F78" s="2">
        <f t="shared" si="7"/>
        <v>134047.42639737861</v>
      </c>
      <c r="G78" s="2">
        <f t="shared" si="8"/>
        <v>294047.42639737861</v>
      </c>
      <c r="H78">
        <v>1.81015434</v>
      </c>
      <c r="I78" s="3">
        <v>370.25439999999998</v>
      </c>
      <c r="J78" s="2">
        <f t="shared" si="9"/>
        <v>794.17672388870631</v>
      </c>
      <c r="K78" s="2"/>
      <c r="L78" s="2"/>
      <c r="M78" s="2"/>
      <c r="N78" s="2"/>
      <c r="O78" s="2"/>
      <c r="P78" s="2"/>
      <c r="Q78" s="2"/>
    </row>
    <row r="79" spans="1:17" x14ac:dyDescent="0.3">
      <c r="A79" s="12"/>
      <c r="B79" s="11">
        <v>46056</v>
      </c>
      <c r="C79" s="3">
        <v>162443.29</v>
      </c>
      <c r="D79" s="2">
        <v>160000</v>
      </c>
      <c r="E79" s="2">
        <f t="shared" si="10"/>
        <v>1470.2595978939207</v>
      </c>
      <c r="F79" s="2">
        <f t="shared" si="7"/>
        <v>135517.68599527254</v>
      </c>
      <c r="G79" s="2">
        <f t="shared" si="8"/>
        <v>295517.68599527254</v>
      </c>
      <c r="H79">
        <v>1.81920525</v>
      </c>
      <c r="I79" s="3">
        <v>372.10570000000001</v>
      </c>
      <c r="J79" s="2">
        <f t="shared" si="9"/>
        <v>794.17672450401199</v>
      </c>
      <c r="K79" s="2"/>
      <c r="L79" s="2"/>
      <c r="M79" s="2"/>
      <c r="N79" s="2"/>
      <c r="O79" s="2"/>
      <c r="P79" s="2"/>
      <c r="Q79" s="2"/>
    </row>
    <row r="80" spans="1:17" x14ac:dyDescent="0.3">
      <c r="A80" s="12"/>
      <c r="B80" s="11">
        <v>46057</v>
      </c>
      <c r="C80" s="3">
        <v>162443.29</v>
      </c>
      <c r="D80" s="2">
        <v>160000</v>
      </c>
      <c r="E80" s="2">
        <f t="shared" si="10"/>
        <v>2364.1054255517665</v>
      </c>
      <c r="F80" s="2">
        <f t="shared" si="7"/>
        <v>137881.7914208243</v>
      </c>
      <c r="G80" s="2">
        <f t="shared" si="8"/>
        <v>297881.7914208243</v>
      </c>
      <c r="H80">
        <v>1.8337586699999999</v>
      </c>
      <c r="I80" s="3">
        <v>375.08249999999998</v>
      </c>
      <c r="J80" s="2">
        <f t="shared" si="9"/>
        <v>794.1767249093848</v>
      </c>
      <c r="K80" s="2"/>
      <c r="L80" s="2"/>
      <c r="M80" s="2"/>
      <c r="N80" s="2"/>
      <c r="O80" s="2"/>
      <c r="P80" s="2"/>
      <c r="Q80" s="2"/>
    </row>
    <row r="81" spans="1:17" x14ac:dyDescent="0.3">
      <c r="A81" s="12"/>
      <c r="B81" s="11">
        <v>46058</v>
      </c>
      <c r="C81" s="3">
        <v>162443.29</v>
      </c>
      <c r="D81" s="2">
        <v>160000</v>
      </c>
      <c r="E81" s="2">
        <f t="shared" si="10"/>
        <v>2680.9023297098465</v>
      </c>
      <c r="F81" s="2">
        <f t="shared" si="7"/>
        <v>140562.69375053415</v>
      </c>
      <c r="G81" s="2">
        <f t="shared" si="8"/>
        <v>300562.69375053415</v>
      </c>
      <c r="H81">
        <v>1.8502622900000001</v>
      </c>
      <c r="I81" s="3">
        <v>378.45819999999998</v>
      </c>
      <c r="J81" s="2">
        <f t="shared" si="9"/>
        <v>794.17672480219528</v>
      </c>
      <c r="K81" s="2"/>
      <c r="L81" s="2"/>
      <c r="M81" s="2"/>
      <c r="N81" s="2"/>
      <c r="O81" s="2"/>
      <c r="P81" s="2"/>
      <c r="Q81" s="2"/>
    </row>
    <row r="82" spans="1:17" x14ac:dyDescent="0.3">
      <c r="A82" s="12"/>
      <c r="B82" s="11">
        <v>46059</v>
      </c>
      <c r="C82" s="3">
        <v>162443.29</v>
      </c>
      <c r="D82" s="2">
        <v>160000</v>
      </c>
      <c r="E82" s="2">
        <f t="shared" si="10"/>
        <v>2103.9330034219893</v>
      </c>
      <c r="F82" s="2">
        <f t="shared" si="7"/>
        <v>142666.62675395614</v>
      </c>
      <c r="G82" s="2">
        <f t="shared" si="8"/>
        <v>302666.62675395614</v>
      </c>
      <c r="H82">
        <v>1.86321409</v>
      </c>
      <c r="I82" s="3">
        <v>381.10739999999998</v>
      </c>
      <c r="J82" s="2">
        <f t="shared" si="9"/>
        <v>794.17672486536901</v>
      </c>
      <c r="K82" s="2"/>
      <c r="L82" s="2"/>
      <c r="M82" s="2"/>
      <c r="N82" s="2"/>
      <c r="O82" s="2"/>
      <c r="P82" s="2"/>
      <c r="Q82" s="2"/>
    </row>
    <row r="83" spans="1:17" x14ac:dyDescent="0.3">
      <c r="A83" s="12"/>
      <c r="B83" s="11">
        <v>46062</v>
      </c>
      <c r="C83" s="3">
        <v>162443.29</v>
      </c>
      <c r="D83" s="2">
        <v>160000</v>
      </c>
      <c r="E83" s="2">
        <f t="shared" si="10"/>
        <v>1210.6427318158676</v>
      </c>
      <c r="F83" s="2">
        <f t="shared" si="7"/>
        <v>143877.26948577201</v>
      </c>
      <c r="G83" s="2">
        <f t="shared" si="8"/>
        <v>303877.26948577201</v>
      </c>
      <c r="H83">
        <v>1.8706668</v>
      </c>
      <c r="I83" s="3">
        <v>382.6318</v>
      </c>
      <c r="J83" s="2">
        <f t="shared" si="9"/>
        <v>794.17672416608343</v>
      </c>
      <c r="K83" s="2"/>
      <c r="L83" s="2"/>
      <c r="M83" s="2"/>
      <c r="N83" s="2"/>
      <c r="O83" s="2"/>
      <c r="P83" s="2"/>
      <c r="Q83" s="2"/>
    </row>
    <row r="84" spans="1:17" x14ac:dyDescent="0.3">
      <c r="A84" s="12"/>
      <c r="B84" s="11">
        <v>46063</v>
      </c>
      <c r="C84" s="3">
        <v>162443.29</v>
      </c>
      <c r="D84" s="2">
        <v>160000</v>
      </c>
      <c r="E84" s="2">
        <f t="shared" si="10"/>
        <v>2096.7854986620368</v>
      </c>
      <c r="F84" s="2">
        <f t="shared" si="7"/>
        <v>145974.05498443404</v>
      </c>
      <c r="G84" s="2">
        <f t="shared" si="8"/>
        <v>305974.05498443404</v>
      </c>
      <c r="H84">
        <v>1.8835746</v>
      </c>
      <c r="I84" s="3">
        <v>385.27199999999999</v>
      </c>
      <c r="J84" s="2">
        <f t="shared" si="9"/>
        <v>794.17672445553808</v>
      </c>
      <c r="K84" s="2"/>
      <c r="L84" s="2"/>
      <c r="M84" s="2"/>
      <c r="N84" s="2"/>
      <c r="O84" s="2"/>
      <c r="P84" s="2"/>
      <c r="Q84" s="2"/>
    </row>
    <row r="85" spans="1:17" x14ac:dyDescent="0.3">
      <c r="A85" s="12"/>
      <c r="B85" s="11">
        <v>46064</v>
      </c>
      <c r="C85" s="3">
        <v>162443.29</v>
      </c>
      <c r="D85" s="2">
        <v>160000</v>
      </c>
      <c r="E85" s="2">
        <f t="shared" si="10"/>
        <v>2753.7289054825669</v>
      </c>
      <c r="F85" s="2">
        <f t="shared" si="7"/>
        <v>148727.78388991661</v>
      </c>
      <c r="G85" s="2">
        <f t="shared" si="8"/>
        <v>308727.78388991661</v>
      </c>
      <c r="H85">
        <v>1.90052654</v>
      </c>
      <c r="I85" s="3">
        <v>388.73939999999999</v>
      </c>
      <c r="J85" s="2">
        <f t="shared" si="9"/>
        <v>794.17672582176294</v>
      </c>
      <c r="K85" s="2"/>
      <c r="L85" s="2"/>
      <c r="M85" s="2"/>
      <c r="N85" s="2"/>
      <c r="O85" s="2"/>
      <c r="P85" s="2"/>
      <c r="Q85" s="2"/>
    </row>
    <row r="86" spans="1:17" x14ac:dyDescent="0.3">
      <c r="A86" s="12"/>
      <c r="B86" s="11">
        <v>46065</v>
      </c>
      <c r="C86" s="3">
        <v>162443.29</v>
      </c>
      <c r="D86" s="2">
        <v>160000</v>
      </c>
      <c r="E86" s="2">
        <f t="shared" si="10"/>
        <v>1234.944247999927</v>
      </c>
      <c r="F86" s="2">
        <f t="shared" si="7"/>
        <v>149962.72813791654</v>
      </c>
      <c r="G86" s="2">
        <f t="shared" si="8"/>
        <v>309962.72813791654</v>
      </c>
      <c r="H86">
        <v>1.90812885</v>
      </c>
      <c r="I86" s="3">
        <v>390.2944</v>
      </c>
      <c r="J86" s="2">
        <f t="shared" si="9"/>
        <v>794.17672438527563</v>
      </c>
      <c r="K86" s="2"/>
      <c r="L86" s="2"/>
      <c r="M86" s="2"/>
      <c r="N86" s="2"/>
      <c r="O86" s="2"/>
      <c r="P86" s="2"/>
      <c r="Q86" s="2"/>
    </row>
    <row r="87" spans="1:17" x14ac:dyDescent="0.3">
      <c r="A87" s="12"/>
      <c r="B87" s="11">
        <v>46066</v>
      </c>
      <c r="C87" s="3">
        <v>162443.29</v>
      </c>
      <c r="D87" s="2">
        <v>160000</v>
      </c>
      <c r="E87" s="2">
        <f t="shared" si="10"/>
        <v>2324.714552159654</v>
      </c>
      <c r="F87" s="2">
        <f t="shared" si="7"/>
        <v>152287.44269007619</v>
      </c>
      <c r="G87" s="2">
        <f t="shared" si="8"/>
        <v>312287.44269007619</v>
      </c>
      <c r="H87">
        <v>1.9224397799999999</v>
      </c>
      <c r="I87" s="3">
        <v>393.22160000000002</v>
      </c>
      <c r="J87" s="2">
        <f t="shared" si="9"/>
        <v>794.17672551578084</v>
      </c>
      <c r="K87" s="2"/>
      <c r="L87" s="2"/>
      <c r="M87" s="2"/>
      <c r="N87" s="2"/>
      <c r="O87" s="2"/>
      <c r="P87" s="2"/>
      <c r="Q87" s="2"/>
    </row>
    <row r="88" spans="1:17" x14ac:dyDescent="0.3">
      <c r="A88" s="12"/>
      <c r="B88" s="11">
        <v>46071</v>
      </c>
      <c r="C88" s="3">
        <v>162443.29</v>
      </c>
      <c r="D88" s="2">
        <v>160000</v>
      </c>
      <c r="E88" s="2">
        <f t="shared" si="10"/>
        <v>2498.3209450485301</v>
      </c>
      <c r="F88" s="2">
        <f t="shared" si="7"/>
        <v>154785.76363512472</v>
      </c>
      <c r="G88" s="2">
        <f t="shared" si="8"/>
        <v>314785.76363512472</v>
      </c>
      <c r="H88">
        <v>1.93781943</v>
      </c>
      <c r="I88" s="3">
        <v>396.36739999999998</v>
      </c>
      <c r="J88" s="2">
        <f t="shared" si="9"/>
        <v>794.17672501604511</v>
      </c>
      <c r="K88" s="2"/>
      <c r="L88" s="2"/>
      <c r="M88" s="2"/>
      <c r="N88" s="2"/>
      <c r="O88" s="2"/>
      <c r="P88" s="2"/>
      <c r="Q88" s="2"/>
    </row>
    <row r="89" spans="1:17" x14ac:dyDescent="0.3">
      <c r="A89" s="12"/>
      <c r="B89" s="11">
        <v>46072</v>
      </c>
      <c r="C89" s="3">
        <v>162443.29</v>
      </c>
      <c r="D89" s="2">
        <v>160000</v>
      </c>
      <c r="E89" s="2">
        <f t="shared" si="10"/>
        <v>1888.7118885010132</v>
      </c>
      <c r="F89" s="2">
        <f t="shared" si="7"/>
        <v>156674.47552362573</v>
      </c>
      <c r="G89" s="2">
        <f t="shared" si="8"/>
        <v>316674.47552362573</v>
      </c>
      <c r="H89">
        <v>1.94944633</v>
      </c>
      <c r="I89" s="3">
        <v>398.74560000000002</v>
      </c>
      <c r="J89" s="2">
        <f t="shared" si="9"/>
        <v>794.17672702501477</v>
      </c>
      <c r="K89" s="2"/>
      <c r="L89" s="2"/>
      <c r="M89" s="2"/>
      <c r="N89" s="2"/>
      <c r="O89" s="2"/>
      <c r="P89" s="2"/>
      <c r="Q89" s="2"/>
    </row>
    <row r="90" spans="1:17" x14ac:dyDescent="0.3">
      <c r="A90" s="12"/>
      <c r="B90" s="11">
        <v>46073</v>
      </c>
      <c r="C90" s="3">
        <v>162443.29</v>
      </c>
      <c r="D90" s="2">
        <v>160000</v>
      </c>
      <c r="E90" s="2">
        <f t="shared" si="10"/>
        <v>2850.0610253183986</v>
      </c>
      <c r="F90" s="2">
        <f t="shared" si="7"/>
        <v>159524.53654894413</v>
      </c>
      <c r="G90" s="2">
        <f t="shared" si="8"/>
        <v>319524.53654894413</v>
      </c>
      <c r="H90">
        <v>1.9669912899999999</v>
      </c>
      <c r="I90" s="3">
        <v>402.33429999999998</v>
      </c>
      <c r="J90" s="2">
        <f t="shared" si="9"/>
        <v>794.1767245520557</v>
      </c>
      <c r="K90" s="2"/>
      <c r="L90" s="2"/>
      <c r="M90" s="2"/>
      <c r="N90" s="2"/>
      <c r="O90" s="2"/>
      <c r="P90" s="2"/>
      <c r="Q90" s="2"/>
    </row>
    <row r="91" spans="1:17" x14ac:dyDescent="0.3">
      <c r="A91" s="12"/>
      <c r="B91" s="11">
        <v>46076</v>
      </c>
      <c r="C91" s="3">
        <v>162443.29</v>
      </c>
      <c r="D91" s="2">
        <v>160000</v>
      </c>
      <c r="E91" s="2">
        <f t="shared" si="10"/>
        <v>2396.4283913960098</v>
      </c>
      <c r="F91" s="2">
        <f t="shared" si="7"/>
        <v>161920.96494034014</v>
      </c>
      <c r="G91" s="2">
        <f t="shared" si="8"/>
        <v>321920.96494034014</v>
      </c>
      <c r="H91">
        <v>1.9817436900000001</v>
      </c>
      <c r="I91" s="3">
        <v>405.35180000000003</v>
      </c>
      <c r="J91" s="2">
        <f t="shared" si="9"/>
        <v>794.17672486057825</v>
      </c>
      <c r="K91" s="2"/>
      <c r="L91" s="2"/>
      <c r="M91" s="2"/>
      <c r="N91" s="2"/>
      <c r="O91" s="2"/>
      <c r="P91" s="2"/>
      <c r="Q91" s="2"/>
    </row>
    <row r="92" spans="1:17" x14ac:dyDescent="0.3">
      <c r="A92" s="12"/>
      <c r="B92" s="11">
        <v>46077</v>
      </c>
      <c r="C92" s="3">
        <v>162443.29</v>
      </c>
      <c r="D92" s="2">
        <v>160000</v>
      </c>
      <c r="E92" s="2">
        <f t="shared" si="10"/>
        <v>1609.6375651467824</v>
      </c>
      <c r="F92" s="2">
        <f t="shared" si="7"/>
        <v>163530.60250548692</v>
      </c>
      <c r="G92" s="2">
        <f t="shared" si="8"/>
        <v>323530.60250548692</v>
      </c>
      <c r="H92">
        <v>1.99165261</v>
      </c>
      <c r="I92" s="3">
        <v>407.37860000000001</v>
      </c>
      <c r="J92" s="2">
        <f t="shared" si="9"/>
        <v>794.17672530046229</v>
      </c>
      <c r="K92" s="2"/>
      <c r="L92" s="2"/>
      <c r="M92" s="2"/>
      <c r="N92" s="2"/>
      <c r="O92" s="2"/>
      <c r="P92" s="2"/>
      <c r="Q92" s="2"/>
    </row>
    <row r="93" spans="1:17" x14ac:dyDescent="0.3">
      <c r="A93" s="12"/>
      <c r="B93" s="11">
        <v>46078</v>
      </c>
      <c r="C93" s="3">
        <v>162443.29</v>
      </c>
      <c r="D93" s="2">
        <v>160000</v>
      </c>
      <c r="E93" s="2">
        <f t="shared" si="10"/>
        <v>2944.0929481678177</v>
      </c>
      <c r="F93" s="2">
        <f t="shared" si="7"/>
        <v>166474.69545365474</v>
      </c>
      <c r="G93" s="2">
        <f t="shared" si="8"/>
        <v>326474.69545365474</v>
      </c>
      <c r="H93">
        <v>2.0097764300000001</v>
      </c>
      <c r="I93" s="3">
        <v>411.08569999999997</v>
      </c>
      <c r="J93" s="2">
        <f t="shared" si="9"/>
        <v>794.17672629735057</v>
      </c>
      <c r="K93" s="2"/>
      <c r="L93" s="2"/>
      <c r="M93" s="2"/>
      <c r="N93" s="2"/>
      <c r="O93" s="2"/>
      <c r="P93" s="2"/>
      <c r="Q93" s="2"/>
    </row>
    <row r="94" spans="1:17" x14ac:dyDescent="0.3">
      <c r="A94" s="12"/>
      <c r="B94" s="11">
        <v>46079</v>
      </c>
      <c r="C94" s="3">
        <v>162443.29</v>
      </c>
      <c r="D94" s="2">
        <v>160000</v>
      </c>
      <c r="E94" s="2">
        <f t="shared" si="10"/>
        <v>2350.6047637198935</v>
      </c>
      <c r="F94" s="2">
        <f t="shared" si="7"/>
        <v>168825.30021737464</v>
      </c>
      <c r="G94" s="2">
        <f t="shared" si="8"/>
        <v>328825.30021737464</v>
      </c>
      <c r="H94">
        <v>2.0242467400000002</v>
      </c>
      <c r="I94" s="3">
        <v>414.0455</v>
      </c>
      <c r="J94" s="2">
        <f t="shared" si="9"/>
        <v>794.17672747892357</v>
      </c>
      <c r="K94" s="2"/>
      <c r="L94" s="2"/>
      <c r="M94" s="2"/>
      <c r="N94" s="2"/>
      <c r="O94" s="2"/>
      <c r="P94" s="2"/>
      <c r="Q94" s="2"/>
    </row>
    <row r="95" spans="1:17" x14ac:dyDescent="0.3">
      <c r="A95" s="12"/>
      <c r="B95" s="11">
        <v>46080</v>
      </c>
      <c r="C95" s="3">
        <v>162443.29</v>
      </c>
      <c r="D95" s="2">
        <v>160000</v>
      </c>
      <c r="E95" s="2">
        <f t="shared" si="10"/>
        <v>2630.6310047535226</v>
      </c>
      <c r="F95" s="2">
        <f t="shared" si="7"/>
        <v>171455.93122212816</v>
      </c>
      <c r="G95" s="2">
        <f t="shared" si="8"/>
        <v>331455.93122212816</v>
      </c>
      <c r="H95">
        <v>2.0404408900000002</v>
      </c>
      <c r="I95" s="3">
        <v>417.35789999999997</v>
      </c>
      <c r="J95" s="2">
        <f t="shared" si="9"/>
        <v>794.17672750923896</v>
      </c>
      <c r="K95" s="2"/>
      <c r="L95" s="2"/>
      <c r="M95" s="2"/>
      <c r="N95" s="2"/>
      <c r="O95" s="2"/>
      <c r="P95" s="2"/>
      <c r="Q95" s="2"/>
    </row>
    <row r="96" spans="1:17" x14ac:dyDescent="0.3">
      <c r="A96" s="12"/>
      <c r="B96" s="11">
        <v>46083</v>
      </c>
      <c r="C96" s="3">
        <v>162443.29</v>
      </c>
      <c r="D96" s="2">
        <v>160000</v>
      </c>
      <c r="E96" s="2">
        <f t="shared" si="10"/>
        <v>2088.2068685170379</v>
      </c>
      <c r="F96" s="2">
        <f t="shared" si="7"/>
        <v>173544.1380906452</v>
      </c>
      <c r="G96" s="2">
        <f t="shared" si="8"/>
        <v>333544.1380906452</v>
      </c>
      <c r="H96">
        <v>2.0532958799999999</v>
      </c>
      <c r="I96" s="3">
        <v>419.9873</v>
      </c>
      <c r="J96" s="2">
        <f t="shared" si="9"/>
        <v>794.17672413105151</v>
      </c>
      <c r="K96" s="2"/>
      <c r="L96" s="2"/>
      <c r="M96" s="2"/>
      <c r="N96" s="2"/>
      <c r="O96" s="2"/>
      <c r="P96" s="2"/>
      <c r="Q96" s="2"/>
    </row>
    <row r="97" spans="1:17" x14ac:dyDescent="0.3">
      <c r="A97" s="12"/>
      <c r="B97" s="11">
        <v>46084</v>
      </c>
      <c r="C97" s="3">
        <v>162443.29</v>
      </c>
      <c r="D97" s="2">
        <v>160000</v>
      </c>
      <c r="E97" s="2">
        <f t="shared" si="10"/>
        <v>1500.9158955827006</v>
      </c>
      <c r="F97" s="2">
        <f t="shared" si="7"/>
        <v>175045.0539862279</v>
      </c>
      <c r="G97" s="2">
        <f t="shared" si="8"/>
        <v>335045.0539862279</v>
      </c>
      <c r="H97">
        <v>2.06253551</v>
      </c>
      <c r="I97" s="3">
        <v>421.87720000000002</v>
      </c>
      <c r="J97" s="2">
        <f t="shared" si="9"/>
        <v>794.17672722353302</v>
      </c>
      <c r="K97" s="2"/>
      <c r="L97" s="2"/>
      <c r="M97" s="2"/>
      <c r="N97" s="2"/>
      <c r="O97" s="2"/>
      <c r="P97" s="2"/>
      <c r="Q97" s="2"/>
    </row>
    <row r="98" spans="1:17" x14ac:dyDescent="0.3">
      <c r="A98" s="12"/>
      <c r="B98" s="11">
        <v>46085</v>
      </c>
      <c r="C98" s="3">
        <v>162443.29</v>
      </c>
      <c r="D98" s="2">
        <v>160000</v>
      </c>
      <c r="E98" s="2">
        <f t="shared" si="10"/>
        <v>3015.4088013436412</v>
      </c>
      <c r="F98" s="2">
        <f t="shared" si="7"/>
        <v>178060.46278757154</v>
      </c>
      <c r="G98" s="2">
        <f t="shared" si="8"/>
        <v>338060.46278757154</v>
      </c>
      <c r="H98">
        <v>2.08109835</v>
      </c>
      <c r="I98" s="3">
        <v>425.67410000000001</v>
      </c>
      <c r="J98" s="2">
        <f t="shared" si="9"/>
        <v>794.17672531068138</v>
      </c>
      <c r="K98" s="2"/>
      <c r="L98" s="2"/>
      <c r="M98" s="2"/>
      <c r="N98" s="2"/>
      <c r="O98" s="2"/>
      <c r="P98" s="2"/>
      <c r="Q98" s="2"/>
    </row>
    <row r="99" spans="1:17" x14ac:dyDescent="0.3">
      <c r="A99" s="12"/>
      <c r="B99" s="11">
        <v>46086</v>
      </c>
      <c r="C99" s="3">
        <v>162443.29</v>
      </c>
      <c r="D99" s="2">
        <v>160000</v>
      </c>
      <c r="E99" s="2">
        <f t="shared" si="10"/>
        <v>1791.7429909683997</v>
      </c>
      <c r="F99" s="2">
        <f t="shared" si="7"/>
        <v>179852.20577853994</v>
      </c>
      <c r="G99" s="2">
        <f t="shared" si="8"/>
        <v>339852.20577853994</v>
      </c>
      <c r="H99">
        <v>2.0921283100000001</v>
      </c>
      <c r="I99" s="3">
        <v>427.93020000000001</v>
      </c>
      <c r="J99" s="2">
        <f t="shared" si="9"/>
        <v>794.17672736941665</v>
      </c>
    </row>
    <row r="100" spans="1:17" x14ac:dyDescent="0.3">
      <c r="A100" s="12"/>
      <c r="B100" s="11">
        <v>46087</v>
      </c>
      <c r="C100" s="3">
        <v>162443.29</v>
      </c>
      <c r="D100" s="2">
        <v>160000</v>
      </c>
      <c r="E100" s="2">
        <f t="shared" si="10"/>
        <v>2446.936883555667</v>
      </c>
      <c r="F100" s="2">
        <f t="shared" si="7"/>
        <v>182299.1426620956</v>
      </c>
      <c r="G100" s="2">
        <f t="shared" si="8"/>
        <v>342299.1426620956</v>
      </c>
      <c r="H100">
        <v>2.1071916399999999</v>
      </c>
      <c r="I100" s="3">
        <v>431.01130000000001</v>
      </c>
      <c r="J100" s="2">
        <f t="shared" si="9"/>
        <v>794.17672497703791</v>
      </c>
    </row>
    <row r="101" spans="1:17" x14ac:dyDescent="0.3">
      <c r="A101" s="12"/>
      <c r="B101" s="11">
        <v>46090</v>
      </c>
      <c r="C101" s="3">
        <v>162443.29</v>
      </c>
      <c r="D101" s="2">
        <v>160000</v>
      </c>
      <c r="E101" s="2">
        <f t="shared" si="10"/>
        <v>1711.5301187993027</v>
      </c>
      <c r="F101" s="2">
        <f t="shared" si="7"/>
        <v>184010.67278089491</v>
      </c>
      <c r="G101" s="2">
        <f t="shared" si="8"/>
        <v>344010.67278089491</v>
      </c>
      <c r="H101">
        <v>2.1177278099999999</v>
      </c>
      <c r="I101" s="3">
        <v>433.16640000000001</v>
      </c>
      <c r="J101" s="2">
        <f t="shared" si="9"/>
        <v>794.17672465106921</v>
      </c>
    </row>
    <row r="102" spans="1:17" x14ac:dyDescent="0.3">
      <c r="A102" s="12"/>
      <c r="B102" s="11">
        <v>46091</v>
      </c>
      <c r="C102" s="3">
        <v>162443.29</v>
      </c>
      <c r="D102" s="2">
        <v>160000</v>
      </c>
      <c r="E102" s="2">
        <f t="shared" si="10"/>
        <v>2442.4908107083756</v>
      </c>
      <c r="F102" s="2">
        <f t="shared" si="7"/>
        <v>186453.16359160328</v>
      </c>
      <c r="G102" s="2">
        <f t="shared" si="8"/>
        <v>346453.16359160328</v>
      </c>
      <c r="H102">
        <v>2.1327637699999999</v>
      </c>
      <c r="I102" s="3">
        <v>436.24189999999999</v>
      </c>
      <c r="J102" s="2">
        <f t="shared" si="9"/>
        <v>794.17672532510812</v>
      </c>
      <c r="K102" s="2"/>
      <c r="L102" s="2"/>
      <c r="M102" s="2"/>
    </row>
    <row r="103" spans="1:17" x14ac:dyDescent="0.3">
      <c r="A103" s="12"/>
      <c r="B103" s="11">
        <v>46092</v>
      </c>
      <c r="C103" s="3">
        <v>162443.29</v>
      </c>
      <c r="D103" s="2">
        <v>160000</v>
      </c>
      <c r="E103" s="2">
        <f t="shared" si="10"/>
        <v>1559.0478513421258</v>
      </c>
      <c r="F103" s="2">
        <f t="shared" si="7"/>
        <v>188012.21144294541</v>
      </c>
      <c r="G103" s="2">
        <f t="shared" si="8"/>
        <v>348012.21144294541</v>
      </c>
      <c r="H103">
        <v>2.1423612599999999</v>
      </c>
      <c r="I103" s="3">
        <v>438.20499999999998</v>
      </c>
      <c r="J103" s="2">
        <f t="shared" si="9"/>
        <v>794.17672423396675</v>
      </c>
    </row>
    <row r="104" spans="1:17" x14ac:dyDescent="0.3">
      <c r="A104" s="12"/>
      <c r="B104" s="11">
        <v>46093</v>
      </c>
      <c r="C104" s="3">
        <v>162443.29</v>
      </c>
      <c r="D104" s="2">
        <v>160000</v>
      </c>
      <c r="E104" s="2">
        <f t="shared" si="10"/>
        <v>2192.4840896668029</v>
      </c>
      <c r="F104" s="2">
        <f t="shared" si="7"/>
        <v>190204.69553261221</v>
      </c>
      <c r="G104" s="2">
        <f t="shared" si="8"/>
        <v>350204.69553261221</v>
      </c>
      <c r="H104">
        <v>2.1558581800000001</v>
      </c>
      <c r="I104" s="3">
        <v>440.96570000000003</v>
      </c>
      <c r="J104" s="2">
        <f t="shared" si="9"/>
        <v>794.17672515710899</v>
      </c>
    </row>
    <row r="105" spans="1:17" x14ac:dyDescent="0.3">
      <c r="A105" s="12"/>
      <c r="B105" s="11">
        <v>46094</v>
      </c>
      <c r="C105" s="3">
        <v>162443.29</v>
      </c>
      <c r="D105" s="2">
        <v>160000</v>
      </c>
      <c r="E105" s="2">
        <f t="shared" si="10"/>
        <v>1821.0477604843909</v>
      </c>
      <c r="F105" s="2">
        <f t="shared" si="7"/>
        <v>192025.7432930966</v>
      </c>
      <c r="G105" s="2">
        <f t="shared" si="8"/>
        <v>352025.7432930966</v>
      </c>
      <c r="H105">
        <v>2.1670685399999998</v>
      </c>
      <c r="I105" s="3">
        <v>443.25869999999998</v>
      </c>
      <c r="J105" s="2">
        <f t="shared" si="9"/>
        <v>794.17672635212034</v>
      </c>
    </row>
    <row r="106" spans="1:17" x14ac:dyDescent="0.3">
      <c r="A106" s="12"/>
      <c r="B106" s="11">
        <v>46097</v>
      </c>
      <c r="C106" s="3">
        <v>162443.29</v>
      </c>
      <c r="D106" s="2">
        <v>160000</v>
      </c>
      <c r="E106" s="2">
        <f t="shared" si="10"/>
        <v>2816.2305857429747</v>
      </c>
      <c r="F106" s="2">
        <f t="shared" si="7"/>
        <v>194841.97387883958</v>
      </c>
      <c r="G106" s="2">
        <f t="shared" si="8"/>
        <v>354841.97387883958</v>
      </c>
      <c r="H106">
        <v>2.1844052399999998</v>
      </c>
      <c r="I106" s="3">
        <v>446.8048</v>
      </c>
      <c r="J106" s="2">
        <f t="shared" si="9"/>
        <v>794.1767274631776</v>
      </c>
    </row>
    <row r="107" spans="1:17" x14ac:dyDescent="0.3">
      <c r="A107" s="12"/>
      <c r="B107" s="11">
        <v>46098</v>
      </c>
      <c r="C107" s="3">
        <v>162443.29</v>
      </c>
      <c r="D107" s="2">
        <v>160000</v>
      </c>
      <c r="E107" s="2">
        <f t="shared" si="10"/>
        <v>1241.9325583357713</v>
      </c>
      <c r="F107" s="2">
        <f t="shared" si="7"/>
        <v>196083.90643717535</v>
      </c>
      <c r="G107" s="2">
        <f t="shared" si="8"/>
        <v>356083.90643717535</v>
      </c>
      <c r="H107">
        <v>2.1920505700000001</v>
      </c>
      <c r="I107" s="3">
        <v>448.36860000000001</v>
      </c>
      <c r="J107" s="2">
        <f t="shared" si="9"/>
        <v>794.17672521486861</v>
      </c>
    </row>
    <row r="108" spans="1:17" x14ac:dyDescent="0.3">
      <c r="A108" s="12"/>
      <c r="B108" s="11">
        <v>46099</v>
      </c>
      <c r="C108" s="3">
        <v>162443.29</v>
      </c>
      <c r="D108" s="2">
        <v>160000</v>
      </c>
      <c r="E108" s="2">
        <f t="shared" si="10"/>
        <v>2492.602941240475</v>
      </c>
      <c r="F108" s="2">
        <f t="shared" si="7"/>
        <v>198576.50937841582</v>
      </c>
      <c r="G108" s="2">
        <f t="shared" si="8"/>
        <v>358576.50937841582</v>
      </c>
      <c r="H108">
        <v>2.2073950199999999</v>
      </c>
      <c r="I108" s="3">
        <v>451.50720000000001</v>
      </c>
      <c r="J108" s="2">
        <f t="shared" si="9"/>
        <v>794.1767249302244</v>
      </c>
    </row>
    <row r="109" spans="1:17" x14ac:dyDescent="0.3">
      <c r="A109" s="12"/>
      <c r="B109" s="11">
        <v>46101</v>
      </c>
      <c r="C109" s="3">
        <v>162443.29</v>
      </c>
      <c r="D109" s="2">
        <v>160000</v>
      </c>
      <c r="E109" s="2">
        <f t="shared" si="10"/>
        <v>2976.177122375695</v>
      </c>
      <c r="F109" s="2">
        <f t="shared" si="7"/>
        <v>201552.68650079152</v>
      </c>
      <c r="G109" s="2">
        <f t="shared" si="8"/>
        <v>361552.68650079152</v>
      </c>
      <c r="H109">
        <v>2.2257163499999999</v>
      </c>
      <c r="I109" s="3">
        <v>455.25470000000001</v>
      </c>
      <c r="J109" s="2">
        <f t="shared" si="9"/>
        <v>794.17672459129255</v>
      </c>
    </row>
    <row r="110" spans="1:17" x14ac:dyDescent="0.3">
      <c r="A110" s="12"/>
      <c r="B110" s="11">
        <v>46104</v>
      </c>
      <c r="C110" s="3">
        <v>162443.29</v>
      </c>
      <c r="D110" s="2">
        <v>160000</v>
      </c>
      <c r="E110" s="2">
        <f t="shared" si="10"/>
        <v>1446.1968733462272</v>
      </c>
      <c r="F110" s="2">
        <f t="shared" si="7"/>
        <v>202998.88337413775</v>
      </c>
      <c r="G110" s="2">
        <f t="shared" si="8"/>
        <v>362998.88337413775</v>
      </c>
      <c r="H110">
        <v>2.23461913</v>
      </c>
      <c r="I110" s="3">
        <v>457.07569999999998</v>
      </c>
      <c r="J110" s="2">
        <f t="shared" si="9"/>
        <v>794.17672690571339</v>
      </c>
    </row>
    <row r="111" spans="1:17" x14ac:dyDescent="0.3">
      <c r="A111" s="12"/>
      <c r="B111" s="11">
        <v>46105</v>
      </c>
      <c r="C111" s="3">
        <v>162443.29</v>
      </c>
      <c r="D111" s="2">
        <v>160000</v>
      </c>
      <c r="E111" s="2">
        <f t="shared" si="10"/>
        <v>1887.599151964474</v>
      </c>
      <c r="F111" s="2">
        <f t="shared" si="7"/>
        <v>204886.48252610222</v>
      </c>
      <c r="G111" s="2">
        <f t="shared" si="8"/>
        <v>364886.48252610222</v>
      </c>
      <c r="H111">
        <v>2.2462391799999999</v>
      </c>
      <c r="I111" s="3">
        <v>459.45249999999999</v>
      </c>
      <c r="J111" s="2">
        <f t="shared" si="9"/>
        <v>794.17672670428874</v>
      </c>
    </row>
    <row r="112" spans="1:17" x14ac:dyDescent="0.3">
      <c r="A112" s="12"/>
      <c r="B112" s="11">
        <v>46106</v>
      </c>
      <c r="C112" s="3">
        <v>162443.29</v>
      </c>
      <c r="D112" s="2">
        <v>160000</v>
      </c>
      <c r="E112" s="2">
        <f t="shared" si="10"/>
        <v>2554.2306766007096</v>
      </c>
      <c r="F112" s="2">
        <f t="shared" si="7"/>
        <v>207440.71320270293</v>
      </c>
      <c r="G112" s="2">
        <f t="shared" si="8"/>
        <v>367440.71320270293</v>
      </c>
      <c r="H112">
        <v>2.2619630100000001</v>
      </c>
      <c r="I112" s="3">
        <v>462.6687</v>
      </c>
      <c r="J112" s="2">
        <f t="shared" si="9"/>
        <v>794.17672559804225</v>
      </c>
    </row>
    <row r="113" spans="1:15" x14ac:dyDescent="0.3">
      <c r="A113" s="12"/>
      <c r="B113" s="11">
        <v>46107</v>
      </c>
      <c r="C113" s="3">
        <v>162443.29</v>
      </c>
      <c r="D113" s="2">
        <v>160000</v>
      </c>
      <c r="E113" s="2">
        <f t="shared" si="10"/>
        <v>3123.2581504404079</v>
      </c>
      <c r="F113" s="2">
        <f t="shared" si="7"/>
        <v>210563.97135314334</v>
      </c>
      <c r="G113" s="2">
        <f t="shared" si="8"/>
        <v>370563.97135314334</v>
      </c>
      <c r="H113">
        <v>2.2811897700000001</v>
      </c>
      <c r="I113" s="3">
        <v>466.60140000000001</v>
      </c>
      <c r="J113" s="2">
        <f t="shared" si="9"/>
        <v>794.17672418716131</v>
      </c>
    </row>
    <row r="114" spans="1:15" x14ac:dyDescent="0.3">
      <c r="A114" s="12"/>
      <c r="B114" s="11">
        <v>46108</v>
      </c>
      <c r="C114" s="3">
        <v>162443.29</v>
      </c>
      <c r="D114" s="2">
        <v>160000</v>
      </c>
      <c r="E114" s="2">
        <f t="shared" si="10"/>
        <v>1519.3402135345386</v>
      </c>
      <c r="F114" s="2">
        <f t="shared" ref="F114:F156" si="11">+G114-D114</f>
        <v>212083.31156667788</v>
      </c>
      <c r="G114" s="2">
        <f t="shared" ref="G114:G156" si="12">+C114*H114</f>
        <v>372083.31156667788</v>
      </c>
      <c r="H114">
        <v>2.2905428200000002</v>
      </c>
      <c r="I114" s="3">
        <v>468.5145</v>
      </c>
      <c r="J114" s="2">
        <f t="shared" ref="J114:J156" si="13">+G114/I114</f>
        <v>794.17672572925255</v>
      </c>
    </row>
    <row r="115" spans="1:15" x14ac:dyDescent="0.3">
      <c r="A115" s="12"/>
      <c r="B115" s="11">
        <v>46111</v>
      </c>
      <c r="C115" s="3">
        <v>162443.29</v>
      </c>
      <c r="D115" s="2">
        <v>160000</v>
      </c>
      <c r="E115" s="2">
        <f t="shared" si="10"/>
        <v>2530.1679520529578</v>
      </c>
      <c r="F115" s="2">
        <f t="shared" si="11"/>
        <v>214613.47951873083</v>
      </c>
      <c r="G115" s="2">
        <f t="shared" si="12"/>
        <v>374613.47951873083</v>
      </c>
      <c r="H115">
        <v>2.3061185200000001</v>
      </c>
      <c r="I115" s="3">
        <v>471.7004</v>
      </c>
      <c r="J115" s="2">
        <f t="shared" si="13"/>
        <v>794.17672641093975</v>
      </c>
    </row>
    <row r="116" spans="1:15" x14ac:dyDescent="0.3">
      <c r="B116" s="11">
        <v>46112</v>
      </c>
      <c r="C116" s="3">
        <v>162443.29</v>
      </c>
      <c r="D116" s="2">
        <v>160000</v>
      </c>
      <c r="E116" s="2">
        <f t="shared" si="10"/>
        <v>1723.2049180516042</v>
      </c>
      <c r="F116" s="2">
        <f t="shared" si="11"/>
        <v>216336.68443678244</v>
      </c>
      <c r="G116" s="2">
        <f t="shared" si="12"/>
        <v>376336.68443678244</v>
      </c>
      <c r="H116">
        <v>2.3167265600000002</v>
      </c>
      <c r="I116" s="3">
        <v>473.87020000000001</v>
      </c>
      <c r="J116" s="2">
        <f t="shared" si="13"/>
        <v>794.17672695346198</v>
      </c>
    </row>
    <row r="117" spans="1:15" x14ac:dyDescent="0.3">
      <c r="B117" s="11">
        <v>46113</v>
      </c>
      <c r="C117" s="3">
        <v>162443.29</v>
      </c>
      <c r="D117" s="2">
        <v>160000</v>
      </c>
      <c r="E117" s="2">
        <f t="shared" si="10"/>
        <v>37.642983591707889</v>
      </c>
      <c r="F117" s="2">
        <f t="shared" si="11"/>
        <v>216374.32742037415</v>
      </c>
      <c r="G117" s="2">
        <f t="shared" si="12"/>
        <v>376374.32742037415</v>
      </c>
      <c r="H117">
        <v>2.3169582900000001</v>
      </c>
      <c r="I117" s="3">
        <v>473.91759999999999</v>
      </c>
      <c r="J117" s="2">
        <f t="shared" si="13"/>
        <v>794.17672485759999</v>
      </c>
    </row>
    <row r="118" spans="1:15" x14ac:dyDescent="0.3">
      <c r="B118" s="11">
        <v>46118</v>
      </c>
      <c r="C118" s="3">
        <v>162443.29</v>
      </c>
      <c r="D118" s="2">
        <v>160000</v>
      </c>
      <c r="E118" s="2">
        <f t="shared" si="10"/>
        <v>112.93219964089803</v>
      </c>
      <c r="F118" s="2">
        <f t="shared" si="11"/>
        <v>216487.25962001504</v>
      </c>
      <c r="G118" s="2">
        <f t="shared" si="12"/>
        <v>376487.25962001504</v>
      </c>
      <c r="H118">
        <v>2.3176535</v>
      </c>
      <c r="I118" s="3">
        <v>474.0598</v>
      </c>
      <c r="J118" s="2">
        <f t="shared" si="13"/>
        <v>794.17672542581136</v>
      </c>
    </row>
    <row r="119" spans="1:15" x14ac:dyDescent="0.3">
      <c r="B119" s="11">
        <v>46119</v>
      </c>
      <c r="C119" s="3">
        <v>162443.29</v>
      </c>
      <c r="D119" s="2">
        <v>160000</v>
      </c>
      <c r="E119" s="2">
        <f t="shared" si="10"/>
        <v>376.43958251440199</v>
      </c>
      <c r="F119" s="2">
        <f t="shared" si="11"/>
        <v>216863.69920252945</v>
      </c>
      <c r="G119" s="2">
        <f t="shared" si="12"/>
        <v>376863.69920252945</v>
      </c>
      <c r="H119">
        <v>2.3199708600000002</v>
      </c>
      <c r="I119" s="3">
        <v>474.53379999999999</v>
      </c>
      <c r="J119" s="2">
        <f t="shared" si="13"/>
        <v>794.17672503524398</v>
      </c>
    </row>
    <row r="120" spans="1:15" x14ac:dyDescent="0.3">
      <c r="B120" s="11">
        <v>46120</v>
      </c>
      <c r="C120" s="3">
        <v>162443.29</v>
      </c>
      <c r="D120" s="2">
        <v>160000</v>
      </c>
      <c r="E120" s="2">
        <f t="shared" si="10"/>
        <v>376.83756857487606</v>
      </c>
      <c r="F120" s="2">
        <f t="shared" si="11"/>
        <v>217240.53677110432</v>
      </c>
      <c r="G120" s="2">
        <f t="shared" si="12"/>
        <v>377240.53677110432</v>
      </c>
      <c r="H120">
        <v>2.3222906700000001</v>
      </c>
      <c r="I120" s="3">
        <v>475.00830000000002</v>
      </c>
      <c r="J120" s="2">
        <f t="shared" si="13"/>
        <v>794.17672653531383</v>
      </c>
    </row>
    <row r="121" spans="1:15" s="5" customFormat="1" x14ac:dyDescent="0.3">
      <c r="B121" s="11">
        <v>46121</v>
      </c>
      <c r="C121" s="3">
        <v>162443.29</v>
      </c>
      <c r="D121" s="2">
        <v>160000</v>
      </c>
      <c r="E121" s="2">
        <f t="shared" si="10"/>
        <v>754.46786040498409</v>
      </c>
      <c r="F121" s="2">
        <f t="shared" si="11"/>
        <v>217995.00463150931</v>
      </c>
      <c r="G121" s="2">
        <f t="shared" si="12"/>
        <v>377995.00463150931</v>
      </c>
      <c r="H121">
        <v>2.3269351700000001</v>
      </c>
      <c r="I121" s="3">
        <v>475.95830000000001</v>
      </c>
      <c r="J121" s="2">
        <f t="shared" si="13"/>
        <v>794.1767264726958</v>
      </c>
      <c r="K121"/>
      <c r="L121"/>
      <c r="M121"/>
      <c r="N121"/>
      <c r="O121"/>
    </row>
    <row r="122" spans="1:15" s="5" customFormat="1" x14ac:dyDescent="0.3">
      <c r="B122" s="11">
        <v>46122</v>
      </c>
      <c r="C122" s="3">
        <v>162443.29</v>
      </c>
      <c r="D122" s="2">
        <v>160000</v>
      </c>
      <c r="E122" s="2">
        <f t="shared" si="10"/>
        <v>377.94868067855714</v>
      </c>
      <c r="F122" s="2">
        <f t="shared" si="11"/>
        <v>218372.95331218786</v>
      </c>
      <c r="G122" s="2">
        <f t="shared" si="12"/>
        <v>378372.95331218786</v>
      </c>
      <c r="H122">
        <v>2.3292618200000001</v>
      </c>
      <c r="I122" s="3">
        <v>476.43419999999998</v>
      </c>
      <c r="J122" s="2">
        <f t="shared" si="13"/>
        <v>794.17672642347645</v>
      </c>
      <c r="K122"/>
      <c r="L122"/>
      <c r="M122"/>
      <c r="N122"/>
      <c r="O122"/>
    </row>
    <row r="123" spans="1:15" s="5" customFormat="1" x14ac:dyDescent="0.3">
      <c r="B123" s="11">
        <v>46125</v>
      </c>
      <c r="C123" s="3">
        <v>162443.29</v>
      </c>
      <c r="D123" s="2">
        <v>160000</v>
      </c>
      <c r="E123" s="2">
        <f t="shared" si="10"/>
        <v>567.51837567554321</v>
      </c>
      <c r="F123" s="2">
        <f t="shared" si="11"/>
        <v>218940.47168786341</v>
      </c>
      <c r="G123" s="2">
        <f t="shared" si="12"/>
        <v>378940.47168786341</v>
      </c>
      <c r="H123">
        <v>2.33275546</v>
      </c>
      <c r="I123" s="3">
        <v>477.14879999999999</v>
      </c>
      <c r="J123" s="2">
        <f t="shared" si="13"/>
        <v>794.17672576744076</v>
      </c>
      <c r="K123"/>
      <c r="L123"/>
      <c r="M123"/>
      <c r="N123"/>
      <c r="O123"/>
    </row>
    <row r="124" spans="1:15" s="5" customFormat="1" x14ac:dyDescent="0.3">
      <c r="B124" s="11">
        <v>46126</v>
      </c>
      <c r="C124" s="3">
        <v>162443.29</v>
      </c>
      <c r="D124" s="2">
        <v>160000</v>
      </c>
      <c r="E124" s="2">
        <f t="shared" si="10"/>
        <v>378.90222279081354</v>
      </c>
      <c r="F124" s="2">
        <f t="shared" si="11"/>
        <v>219319.37391065422</v>
      </c>
      <c r="G124" s="2">
        <f t="shared" si="12"/>
        <v>379319.37391065422</v>
      </c>
      <c r="H124">
        <v>2.33508798</v>
      </c>
      <c r="I124" s="3">
        <v>477.6259</v>
      </c>
      <c r="J124" s="2">
        <f t="shared" si="13"/>
        <v>794.17672682878845</v>
      </c>
      <c r="K124"/>
      <c r="L124"/>
      <c r="M124"/>
      <c r="N124"/>
      <c r="O124"/>
    </row>
    <row r="125" spans="1:15" s="5" customFormat="1" x14ac:dyDescent="0.3">
      <c r="B125" s="11">
        <v>46127</v>
      </c>
      <c r="C125" s="3">
        <v>162443.29</v>
      </c>
      <c r="D125" s="2">
        <v>160000</v>
      </c>
      <c r="E125" s="2">
        <f t="shared" si="10"/>
        <v>758.59716883680085</v>
      </c>
      <c r="F125" s="2">
        <f t="shared" si="11"/>
        <v>220077.97107949102</v>
      </c>
      <c r="G125" s="2">
        <f t="shared" si="12"/>
        <v>380077.97107949102</v>
      </c>
      <c r="H125">
        <v>2.3397578999999999</v>
      </c>
      <c r="I125" s="3">
        <v>478.58109999999999</v>
      </c>
      <c r="J125" s="2">
        <f t="shared" si="13"/>
        <v>794.17672590808752</v>
      </c>
      <c r="K125"/>
      <c r="L125"/>
      <c r="M125"/>
      <c r="N125"/>
      <c r="O125"/>
    </row>
    <row r="126" spans="1:15" s="5" customFormat="1" x14ac:dyDescent="0.3">
      <c r="A126" s="12"/>
      <c r="B126" s="11">
        <v>46128</v>
      </c>
      <c r="C126" s="3">
        <v>162443.29</v>
      </c>
      <c r="D126" s="2">
        <v>160000</v>
      </c>
      <c r="E126" s="2">
        <f t="shared" si="10"/>
        <v>950.15354527061572</v>
      </c>
      <c r="F126" s="2">
        <f t="shared" si="11"/>
        <v>221028.12462476164</v>
      </c>
      <c r="G126" s="2">
        <f t="shared" si="12"/>
        <v>381028.12462476164</v>
      </c>
      <c r="H126">
        <v>2.34560704</v>
      </c>
      <c r="I126" s="3">
        <v>479.77749999999997</v>
      </c>
      <c r="J126" s="2">
        <f t="shared" si="13"/>
        <v>794.17672697190187</v>
      </c>
      <c r="K126"/>
      <c r="L126"/>
      <c r="M126"/>
      <c r="N126"/>
      <c r="O126"/>
    </row>
    <row r="127" spans="1:15" s="5" customFormat="1" x14ac:dyDescent="0.3">
      <c r="A127" s="12"/>
      <c r="B127" s="11">
        <v>46129</v>
      </c>
      <c r="C127" s="3">
        <v>162443.29</v>
      </c>
      <c r="D127" s="2">
        <v>160000</v>
      </c>
      <c r="E127" s="2">
        <f t="shared" si="10"/>
        <v>380.96525257377652</v>
      </c>
      <c r="F127" s="2">
        <f t="shared" si="11"/>
        <v>221409.08987733541</v>
      </c>
      <c r="G127" s="2">
        <f t="shared" si="12"/>
        <v>381409.08987733541</v>
      </c>
      <c r="H127">
        <v>2.34795226</v>
      </c>
      <c r="I127" s="3">
        <v>480.25720000000001</v>
      </c>
      <c r="J127" s="2">
        <f t="shared" si="13"/>
        <v>794.17672421638952</v>
      </c>
      <c r="K127"/>
      <c r="L127"/>
      <c r="M127"/>
      <c r="N127"/>
      <c r="O127"/>
    </row>
    <row r="128" spans="1:15" s="5" customFormat="1" x14ac:dyDescent="0.3">
      <c r="B128" s="11">
        <v>46132</v>
      </c>
      <c r="C128" s="3">
        <v>162443.29</v>
      </c>
      <c r="D128" s="2">
        <v>160000</v>
      </c>
      <c r="E128" s="2">
        <f t="shared" si="10"/>
        <v>762.80769891361706</v>
      </c>
      <c r="F128" s="2">
        <f t="shared" si="11"/>
        <v>222171.89757624903</v>
      </c>
      <c r="G128" s="2">
        <f t="shared" si="12"/>
        <v>382171.89757624903</v>
      </c>
      <c r="H128">
        <v>2.3526481000000001</v>
      </c>
      <c r="I128" s="3">
        <v>481.21769999999998</v>
      </c>
      <c r="J128" s="2">
        <f t="shared" si="13"/>
        <v>794.17672620156952</v>
      </c>
      <c r="K128"/>
      <c r="L128"/>
      <c r="M128"/>
      <c r="N128"/>
      <c r="O128"/>
    </row>
    <row r="129" spans="2:15" s="5" customFormat="1" x14ac:dyDescent="0.3">
      <c r="B129" s="11">
        <v>46133</v>
      </c>
      <c r="C129" s="3">
        <v>162443.29</v>
      </c>
      <c r="D129" s="2">
        <v>160000</v>
      </c>
      <c r="E129" s="2">
        <f t="shared" si="10"/>
        <v>382.15758632239886</v>
      </c>
      <c r="F129" s="2">
        <f t="shared" si="11"/>
        <v>222554.05516257143</v>
      </c>
      <c r="G129" s="2">
        <f t="shared" si="12"/>
        <v>382554.05516257143</v>
      </c>
      <c r="H129">
        <v>2.35500066</v>
      </c>
      <c r="I129" s="3">
        <v>481.69889999999998</v>
      </c>
      <c r="J129" s="2">
        <f t="shared" si="13"/>
        <v>794.17672567359284</v>
      </c>
      <c r="K129"/>
      <c r="L129"/>
      <c r="M129"/>
      <c r="N129"/>
      <c r="O129"/>
    </row>
    <row r="130" spans="2:15" s="5" customFormat="1" x14ac:dyDescent="0.3">
      <c r="B130" s="11">
        <v>46134</v>
      </c>
      <c r="C130" s="3">
        <v>162443.29</v>
      </c>
      <c r="D130" s="2">
        <v>160000</v>
      </c>
      <c r="E130" s="2">
        <f t="shared" si="10"/>
        <v>841.58944569778396</v>
      </c>
      <c r="F130" s="2">
        <f t="shared" si="11"/>
        <v>223395.64460826921</v>
      </c>
      <c r="G130" s="2">
        <f t="shared" si="12"/>
        <v>383395.64460826921</v>
      </c>
      <c r="H130">
        <v>2.3601814800000001</v>
      </c>
      <c r="I130" s="3">
        <v>482.7586</v>
      </c>
      <c r="J130" s="2">
        <f t="shared" si="13"/>
        <v>794.17672643898879</v>
      </c>
      <c r="K130"/>
      <c r="L130"/>
      <c r="M130"/>
      <c r="N130"/>
      <c r="O130"/>
    </row>
    <row r="131" spans="2:15" s="5" customFormat="1" x14ac:dyDescent="0.3">
      <c r="B131" s="11">
        <v>46135</v>
      </c>
      <c r="C131" s="3">
        <v>162443.29</v>
      </c>
      <c r="D131" s="2">
        <v>160000</v>
      </c>
      <c r="E131" s="2">
        <f t="shared" si="10"/>
        <v>460.06701263930881</v>
      </c>
      <c r="F131" s="2">
        <f t="shared" si="11"/>
        <v>223855.71162090852</v>
      </c>
      <c r="G131" s="2">
        <f t="shared" si="12"/>
        <v>383855.71162090852</v>
      </c>
      <c r="H131">
        <v>2.3630136500000001</v>
      </c>
      <c r="I131" s="3">
        <v>483.33789999999999</v>
      </c>
      <c r="J131" s="2">
        <f t="shared" si="13"/>
        <v>794.17672733900758</v>
      </c>
      <c r="K131"/>
      <c r="L131"/>
      <c r="M131"/>
      <c r="N131"/>
      <c r="O131"/>
    </row>
    <row r="132" spans="2:15" s="5" customFormat="1" x14ac:dyDescent="0.3">
      <c r="B132" s="11">
        <v>46136</v>
      </c>
      <c r="C132" s="3">
        <v>162443.29</v>
      </c>
      <c r="D132" s="2">
        <v>160000</v>
      </c>
      <c r="E132" s="2">
        <f t="shared" si="10"/>
        <v>422.18361297837691</v>
      </c>
      <c r="F132" s="2">
        <f t="shared" si="11"/>
        <v>224277.8952338869</v>
      </c>
      <c r="G132" s="2">
        <f t="shared" si="12"/>
        <v>384277.8952338869</v>
      </c>
      <c r="H132">
        <v>2.3656126099999999</v>
      </c>
      <c r="I132" s="3">
        <v>483.86950000000002</v>
      </c>
      <c r="J132" s="2">
        <f t="shared" si="13"/>
        <v>794.17672581943452</v>
      </c>
      <c r="K132"/>
      <c r="L132"/>
      <c r="M132"/>
      <c r="N132"/>
      <c r="O132"/>
    </row>
    <row r="133" spans="2:15" s="5" customFormat="1" x14ac:dyDescent="0.3">
      <c r="B133" s="11">
        <v>46139</v>
      </c>
      <c r="C133" s="3">
        <v>162443.29</v>
      </c>
      <c r="D133" s="2">
        <v>160000</v>
      </c>
      <c r="E133" s="2">
        <f t="shared" si="10"/>
        <v>691.64779129624367</v>
      </c>
      <c r="F133" s="2">
        <f t="shared" si="11"/>
        <v>224969.54302518314</v>
      </c>
      <c r="G133" s="2">
        <f t="shared" si="12"/>
        <v>384969.54302518314</v>
      </c>
      <c r="H133">
        <v>2.36987039</v>
      </c>
      <c r="I133" s="3">
        <v>484.74040000000002</v>
      </c>
      <c r="J133" s="2">
        <f t="shared" si="13"/>
        <v>794.17672433571272</v>
      </c>
      <c r="K133"/>
      <c r="L133"/>
      <c r="M133"/>
      <c r="N133"/>
      <c r="O133"/>
    </row>
    <row r="134" spans="2:15" s="5" customFormat="1" x14ac:dyDescent="0.3">
      <c r="B134" s="11">
        <v>46140</v>
      </c>
      <c r="C134" s="3">
        <v>162443.29</v>
      </c>
      <c r="D134" s="2">
        <v>160000</v>
      </c>
      <c r="E134" s="2">
        <f t="shared" si="10"/>
        <v>384.9386154472013</v>
      </c>
      <c r="F134" s="2">
        <f t="shared" si="11"/>
        <v>225354.48164063034</v>
      </c>
      <c r="G134" s="2">
        <f t="shared" si="12"/>
        <v>385354.48164063034</v>
      </c>
      <c r="H134">
        <v>2.3722400700000001</v>
      </c>
      <c r="I134" s="3">
        <v>485.2251</v>
      </c>
      <c r="J134" s="2">
        <f t="shared" si="13"/>
        <v>794.17672672050628</v>
      </c>
      <c r="K134"/>
      <c r="L134"/>
      <c r="M134"/>
      <c r="N134"/>
      <c r="O134"/>
    </row>
    <row r="135" spans="2:15" s="5" customFormat="1" x14ac:dyDescent="0.3">
      <c r="B135" s="11">
        <v>46141</v>
      </c>
      <c r="C135" s="3">
        <v>162443.29</v>
      </c>
      <c r="D135" s="2">
        <v>160000</v>
      </c>
      <c r="E135" s="2">
        <f t="shared" si="10"/>
        <v>770.66832971671829</v>
      </c>
      <c r="F135" s="2">
        <f t="shared" si="11"/>
        <v>226125.14997034706</v>
      </c>
      <c r="G135" s="2">
        <f t="shared" si="12"/>
        <v>386125.14997034706</v>
      </c>
      <c r="H135">
        <v>2.3769843000000002</v>
      </c>
      <c r="I135" s="3">
        <v>486.19549999999998</v>
      </c>
      <c r="J135" s="2">
        <f t="shared" si="13"/>
        <v>794.17672514522883</v>
      </c>
      <c r="K135"/>
      <c r="L135"/>
      <c r="M135"/>
      <c r="N135"/>
      <c r="O135"/>
    </row>
    <row r="136" spans="2:15" s="5" customFormat="1" x14ac:dyDescent="0.3">
      <c r="B136" s="11">
        <v>46142</v>
      </c>
      <c r="C136" s="3">
        <v>162443.29</v>
      </c>
      <c r="D136" s="2">
        <v>160000</v>
      </c>
      <c r="E136" s="2">
        <f t="shared" si="10"/>
        <v>733.58090217673453</v>
      </c>
      <c r="F136" s="2">
        <f t="shared" si="11"/>
        <v>226858.7308725238</v>
      </c>
      <c r="G136" s="2">
        <f t="shared" si="12"/>
        <v>386858.7308725238</v>
      </c>
      <c r="H136">
        <v>2.3815002199999999</v>
      </c>
      <c r="I136" s="3">
        <v>487.11919999999998</v>
      </c>
      <c r="J136" s="2">
        <f t="shared" si="13"/>
        <v>794.17672486020626</v>
      </c>
      <c r="K136"/>
      <c r="L136"/>
      <c r="M136"/>
      <c r="N136"/>
      <c r="O136"/>
    </row>
    <row r="137" spans="2:15" x14ac:dyDescent="0.3">
      <c r="B137" s="11">
        <v>46146</v>
      </c>
      <c r="C137" s="3">
        <v>162443.29</v>
      </c>
      <c r="D137" s="2">
        <v>160000</v>
      </c>
      <c r="E137" s="2">
        <f t="shared" si="10"/>
        <v>1934.2171273287386</v>
      </c>
      <c r="F137" s="2">
        <f t="shared" si="11"/>
        <v>228792.94799985253</v>
      </c>
      <c r="G137" s="2">
        <f t="shared" si="12"/>
        <v>388792.94799985253</v>
      </c>
      <c r="H137">
        <v>2.3934072500000001</v>
      </c>
      <c r="I137" s="3">
        <v>489.55470000000003</v>
      </c>
      <c r="J137" s="2">
        <f t="shared" si="13"/>
        <v>794.1767242758624</v>
      </c>
    </row>
    <row r="138" spans="2:15" x14ac:dyDescent="0.3">
      <c r="B138" s="11">
        <v>46147</v>
      </c>
      <c r="C138" s="3">
        <v>162443.29</v>
      </c>
      <c r="D138" s="2">
        <v>160000</v>
      </c>
      <c r="E138" s="2">
        <f t="shared" si="10"/>
        <v>388.74953503056895</v>
      </c>
      <c r="F138" s="2">
        <f t="shared" si="11"/>
        <v>229181.6975348831</v>
      </c>
      <c r="G138" s="2">
        <f t="shared" si="12"/>
        <v>389181.6975348831</v>
      </c>
      <c r="H138">
        <v>2.3958003899999998</v>
      </c>
      <c r="I138" s="3">
        <v>490.04419999999999</v>
      </c>
      <c r="J138" s="2">
        <f t="shared" si="13"/>
        <v>794.17672433401538</v>
      </c>
    </row>
    <row r="139" spans="2:15" x14ac:dyDescent="0.3">
      <c r="B139" s="11">
        <v>46148</v>
      </c>
      <c r="C139" s="3">
        <v>162443.29</v>
      </c>
      <c r="D139" s="2">
        <v>160000</v>
      </c>
      <c r="E139" s="2">
        <f t="shared" ref="E139:E156" si="14">+F139-F138</f>
        <v>2646.4351124376408</v>
      </c>
      <c r="F139" s="2">
        <f t="shared" si="11"/>
        <v>231828.13264732074</v>
      </c>
      <c r="G139" s="2">
        <f t="shared" si="12"/>
        <v>391828.13264732074</v>
      </c>
      <c r="H139">
        <v>2.41209183</v>
      </c>
      <c r="I139" s="3">
        <v>493.37650000000002</v>
      </c>
      <c r="J139" s="2">
        <f t="shared" si="13"/>
        <v>794.17672436226837</v>
      </c>
    </row>
    <row r="140" spans="2:15" x14ac:dyDescent="0.3">
      <c r="B140" s="11">
        <v>46149</v>
      </c>
      <c r="C140" s="3">
        <v>162443.29</v>
      </c>
      <c r="D140" s="2">
        <v>160000</v>
      </c>
      <c r="E140" s="2">
        <f t="shared" si="14"/>
        <v>2742.7688567062723</v>
      </c>
      <c r="F140" s="2">
        <f t="shared" si="11"/>
        <v>234570.90150402702</v>
      </c>
      <c r="G140" s="2">
        <f t="shared" si="12"/>
        <v>394570.90150402702</v>
      </c>
      <c r="H140">
        <v>2.4289763</v>
      </c>
      <c r="I140" s="3">
        <v>496.83010000000002</v>
      </c>
      <c r="J140" s="2">
        <f t="shared" si="13"/>
        <v>794.17672460671565</v>
      </c>
    </row>
    <row r="141" spans="2:15" x14ac:dyDescent="0.3">
      <c r="B141" s="11">
        <v>46150</v>
      </c>
      <c r="C141" s="3">
        <v>162443.29</v>
      </c>
      <c r="D141" s="2">
        <v>160000</v>
      </c>
      <c r="E141" s="2">
        <f t="shared" si="14"/>
        <v>2406.9124813326634</v>
      </c>
      <c r="F141" s="2">
        <f t="shared" si="11"/>
        <v>236977.81398535968</v>
      </c>
      <c r="G141" s="2">
        <f t="shared" si="12"/>
        <v>396977.81398535968</v>
      </c>
      <c r="H141">
        <v>2.4437932400000002</v>
      </c>
      <c r="I141" s="3">
        <v>499.86079999999998</v>
      </c>
      <c r="J141" s="2">
        <f t="shared" si="13"/>
        <v>794.17672677145254</v>
      </c>
    </row>
    <row r="142" spans="2:15" x14ac:dyDescent="0.3">
      <c r="B142" s="11">
        <v>46153</v>
      </c>
      <c r="C142" s="3">
        <v>162443.29</v>
      </c>
      <c r="D142" s="2">
        <v>160000</v>
      </c>
      <c r="E142" s="2">
        <f t="shared" si="14"/>
        <v>476.34707916300977</v>
      </c>
      <c r="F142" s="2">
        <f t="shared" si="11"/>
        <v>237454.16106452269</v>
      </c>
      <c r="G142" s="2">
        <f t="shared" si="12"/>
        <v>397454.16106452269</v>
      </c>
      <c r="H142">
        <v>2.44672563</v>
      </c>
      <c r="I142" s="3">
        <v>500.4606</v>
      </c>
      <c r="J142" s="2">
        <f t="shared" si="13"/>
        <v>794.17672652856731</v>
      </c>
    </row>
    <row r="143" spans="2:15" x14ac:dyDescent="0.3">
      <c r="B143" s="11">
        <v>46154</v>
      </c>
      <c r="C143" s="3">
        <v>162443.29</v>
      </c>
      <c r="D143" s="2">
        <v>160000</v>
      </c>
      <c r="E143" s="2">
        <f t="shared" si="14"/>
        <v>3537.2627437672927</v>
      </c>
      <c r="F143" s="2">
        <f t="shared" si="11"/>
        <v>240991.42380828998</v>
      </c>
      <c r="G143" s="2">
        <f t="shared" si="12"/>
        <v>400991.42380828998</v>
      </c>
      <c r="H143">
        <v>2.4685009999999998</v>
      </c>
      <c r="I143" s="3">
        <v>504.91460000000001</v>
      </c>
      <c r="J143" s="2">
        <f t="shared" si="13"/>
        <v>794.17672574389803</v>
      </c>
    </row>
    <row r="144" spans="2:15" x14ac:dyDescent="0.3">
      <c r="B144" s="11">
        <v>46155</v>
      </c>
      <c r="C144" s="3">
        <v>162443.29</v>
      </c>
      <c r="D144" s="2">
        <v>160000</v>
      </c>
      <c r="E144" s="2">
        <f t="shared" si="14"/>
        <v>2927.1761039472185</v>
      </c>
      <c r="F144" s="2">
        <f t="shared" si="11"/>
        <v>243918.5999122372</v>
      </c>
      <c r="G144" s="2">
        <f t="shared" si="12"/>
        <v>403918.5999122372</v>
      </c>
      <c r="H144">
        <v>2.4865206799999999</v>
      </c>
      <c r="I144" s="3">
        <v>508.60039999999998</v>
      </c>
      <c r="J144" s="2">
        <f t="shared" si="13"/>
        <v>794.17672481625505</v>
      </c>
    </row>
    <row r="145" spans="2:15" x14ac:dyDescent="0.3">
      <c r="B145" s="11">
        <v>46156</v>
      </c>
      <c r="C145" s="3">
        <v>162443.29</v>
      </c>
      <c r="D145" s="2">
        <v>160000</v>
      </c>
      <c r="E145" s="2">
        <f t="shared" si="14"/>
        <v>1736.7851770956186</v>
      </c>
      <c r="F145" s="2">
        <f t="shared" si="11"/>
        <v>245655.38508933282</v>
      </c>
      <c r="G145" s="2">
        <f t="shared" si="12"/>
        <v>405655.38508933282</v>
      </c>
      <c r="H145">
        <v>2.49721232</v>
      </c>
      <c r="I145" s="3">
        <v>510.78730000000002</v>
      </c>
      <c r="J145" s="2">
        <f t="shared" si="13"/>
        <v>794.1767250073226</v>
      </c>
    </row>
    <row r="146" spans="2:15" x14ac:dyDescent="0.3">
      <c r="B146" s="11">
        <v>46157</v>
      </c>
      <c r="C146" s="3">
        <v>162443.29</v>
      </c>
      <c r="D146" s="2">
        <v>160000</v>
      </c>
      <c r="E146" s="2">
        <f t="shared" si="14"/>
        <v>-405655.38508933282</v>
      </c>
      <c r="F146" s="2">
        <f t="shared" si="11"/>
        <v>-160000</v>
      </c>
      <c r="G146" s="2">
        <f t="shared" si="12"/>
        <v>0</v>
      </c>
      <c r="H146">
        <v>0</v>
      </c>
      <c r="I146" s="3">
        <v>0</v>
      </c>
      <c r="J146" s="2" t="e">
        <f t="shared" si="13"/>
        <v>#DIV/0!</v>
      </c>
      <c r="K146" s="11"/>
      <c r="L146" s="11"/>
      <c r="M146" s="11"/>
    </row>
    <row r="147" spans="2:15" x14ac:dyDescent="0.3">
      <c r="B147" s="11">
        <v>46160</v>
      </c>
      <c r="C147" s="3">
        <v>162443.29</v>
      </c>
      <c r="D147" s="2">
        <v>160000</v>
      </c>
      <c r="E147" s="2">
        <f t="shared" si="14"/>
        <v>0</v>
      </c>
      <c r="F147" s="2">
        <f t="shared" si="11"/>
        <v>-160000</v>
      </c>
      <c r="G147" s="2">
        <f t="shared" si="12"/>
        <v>0</v>
      </c>
      <c r="H147">
        <v>0</v>
      </c>
      <c r="I147" s="3">
        <v>0</v>
      </c>
      <c r="J147" s="2" t="e">
        <f t="shared" si="13"/>
        <v>#DIV/0!</v>
      </c>
      <c r="K147" s="2"/>
      <c r="L147" s="2"/>
      <c r="M147" s="2"/>
    </row>
    <row r="148" spans="2:15" x14ac:dyDescent="0.3">
      <c r="B148" s="11">
        <v>46161</v>
      </c>
      <c r="C148" s="3">
        <v>162443.29</v>
      </c>
      <c r="D148" s="2">
        <v>160000</v>
      </c>
      <c r="E148" s="2">
        <f t="shared" si="14"/>
        <v>0</v>
      </c>
      <c r="F148" s="2">
        <f t="shared" si="11"/>
        <v>-160000</v>
      </c>
      <c r="G148" s="2">
        <f t="shared" si="12"/>
        <v>0</v>
      </c>
      <c r="H148">
        <v>0</v>
      </c>
      <c r="I148" s="3">
        <v>0</v>
      </c>
      <c r="J148" s="2" t="e">
        <f t="shared" si="13"/>
        <v>#DIV/0!</v>
      </c>
      <c r="K148" s="2"/>
      <c r="L148" s="2"/>
      <c r="M148" s="2"/>
      <c r="N148" s="3"/>
      <c r="O148" s="17"/>
    </row>
    <row r="149" spans="2:15" x14ac:dyDescent="0.3">
      <c r="B149" s="11">
        <v>46162</v>
      </c>
      <c r="C149" s="3">
        <v>162443.29</v>
      </c>
      <c r="D149" s="2">
        <v>160000</v>
      </c>
      <c r="E149" s="2">
        <f t="shared" si="14"/>
        <v>0</v>
      </c>
      <c r="F149" s="2">
        <f t="shared" si="11"/>
        <v>-160000</v>
      </c>
      <c r="G149" s="2">
        <f t="shared" si="12"/>
        <v>0</v>
      </c>
      <c r="H149">
        <v>0</v>
      </c>
      <c r="I149" s="3">
        <v>0</v>
      </c>
      <c r="J149" s="2" t="e">
        <f t="shared" si="13"/>
        <v>#DIV/0!</v>
      </c>
      <c r="K149" s="2"/>
      <c r="L149" s="2"/>
      <c r="M149" s="2"/>
      <c r="N149" s="3"/>
      <c r="O149" s="17"/>
    </row>
    <row r="150" spans="2:15" x14ac:dyDescent="0.3">
      <c r="B150" s="11">
        <v>46163</v>
      </c>
      <c r="C150" s="3">
        <v>162443.29</v>
      </c>
      <c r="D150" s="2">
        <v>160000</v>
      </c>
      <c r="E150" s="2">
        <f t="shared" si="14"/>
        <v>0</v>
      </c>
      <c r="F150" s="2">
        <f t="shared" si="11"/>
        <v>-160000</v>
      </c>
      <c r="G150" s="2">
        <f t="shared" si="12"/>
        <v>0</v>
      </c>
      <c r="H150">
        <v>0</v>
      </c>
      <c r="I150" s="3">
        <v>0</v>
      </c>
      <c r="J150" s="2" t="e">
        <f t="shared" si="13"/>
        <v>#DIV/0!</v>
      </c>
      <c r="K150" s="2"/>
      <c r="L150" s="2"/>
      <c r="M150" s="2"/>
      <c r="N150" s="3"/>
      <c r="O150" s="17"/>
    </row>
    <row r="151" spans="2:15" x14ac:dyDescent="0.3">
      <c r="B151" s="11">
        <v>46164</v>
      </c>
      <c r="C151" s="3">
        <v>162443.29</v>
      </c>
      <c r="D151" s="2">
        <v>160000</v>
      </c>
      <c r="E151" s="2">
        <f t="shared" si="14"/>
        <v>0</v>
      </c>
      <c r="F151" s="2">
        <f t="shared" si="11"/>
        <v>-160000</v>
      </c>
      <c r="G151" s="2">
        <f t="shared" si="12"/>
        <v>0</v>
      </c>
      <c r="H151">
        <v>0</v>
      </c>
      <c r="I151" s="3">
        <v>0</v>
      </c>
      <c r="J151" s="2" t="e">
        <f t="shared" si="13"/>
        <v>#DIV/0!</v>
      </c>
      <c r="K151" s="2"/>
      <c r="L151" s="2"/>
      <c r="M151" s="2"/>
      <c r="N151" s="3"/>
      <c r="O151" s="17"/>
    </row>
    <row r="152" spans="2:15" x14ac:dyDescent="0.3">
      <c r="B152" s="11">
        <v>46167</v>
      </c>
      <c r="C152" s="3">
        <v>162443.29</v>
      </c>
      <c r="D152" s="2">
        <v>160000</v>
      </c>
      <c r="E152" s="2">
        <f t="shared" si="14"/>
        <v>0</v>
      </c>
      <c r="F152" s="2">
        <f t="shared" si="11"/>
        <v>-160000</v>
      </c>
      <c r="G152" s="2">
        <f t="shared" si="12"/>
        <v>0</v>
      </c>
      <c r="H152">
        <v>0</v>
      </c>
      <c r="I152" s="3">
        <v>0</v>
      </c>
      <c r="J152" s="2" t="e">
        <f t="shared" si="13"/>
        <v>#DIV/0!</v>
      </c>
      <c r="K152" s="2"/>
      <c r="L152" s="2"/>
      <c r="M152" s="2"/>
    </row>
    <row r="153" spans="2:15" x14ac:dyDescent="0.3">
      <c r="B153" s="11">
        <v>46168</v>
      </c>
      <c r="C153" s="3">
        <v>162443.29</v>
      </c>
      <c r="D153" s="2">
        <v>160000</v>
      </c>
      <c r="E153" s="2">
        <f t="shared" si="14"/>
        <v>0</v>
      </c>
      <c r="F153" s="2">
        <f t="shared" si="11"/>
        <v>-160000</v>
      </c>
      <c r="G153" s="2">
        <f t="shared" si="12"/>
        <v>0</v>
      </c>
      <c r="H153">
        <v>0</v>
      </c>
      <c r="I153" s="3">
        <v>0</v>
      </c>
      <c r="J153" s="2" t="e">
        <f t="shared" si="13"/>
        <v>#DIV/0!</v>
      </c>
      <c r="K153" s="2"/>
      <c r="L153" s="2"/>
      <c r="M153" s="2"/>
    </row>
    <row r="154" spans="2:15" x14ac:dyDescent="0.3">
      <c r="B154" s="11">
        <v>46169</v>
      </c>
      <c r="C154" s="3">
        <v>162443.29</v>
      </c>
      <c r="D154" s="2">
        <v>160000</v>
      </c>
      <c r="E154" s="2">
        <f t="shared" si="14"/>
        <v>0</v>
      </c>
      <c r="F154" s="2">
        <f t="shared" si="11"/>
        <v>-160000</v>
      </c>
      <c r="G154" s="2">
        <f t="shared" si="12"/>
        <v>0</v>
      </c>
      <c r="H154">
        <v>0</v>
      </c>
      <c r="I154" s="3">
        <v>0</v>
      </c>
      <c r="J154" s="2" t="e">
        <f t="shared" si="13"/>
        <v>#DIV/0!</v>
      </c>
      <c r="K154" s="2"/>
      <c r="L154" s="2"/>
      <c r="M154" s="2"/>
    </row>
    <row r="155" spans="2:15" x14ac:dyDescent="0.3">
      <c r="B155" s="11">
        <v>46170</v>
      </c>
      <c r="C155" s="3">
        <v>162443.29</v>
      </c>
      <c r="D155" s="2">
        <v>160000</v>
      </c>
      <c r="E155" s="2">
        <f t="shared" si="14"/>
        <v>0</v>
      </c>
      <c r="F155" s="2">
        <f t="shared" si="11"/>
        <v>-160000</v>
      </c>
      <c r="G155" s="2">
        <f t="shared" si="12"/>
        <v>0</v>
      </c>
      <c r="H155">
        <v>0</v>
      </c>
      <c r="I155" s="3">
        <v>0</v>
      </c>
      <c r="J155" s="2" t="e">
        <f t="shared" si="13"/>
        <v>#DIV/0!</v>
      </c>
      <c r="K155" s="2"/>
      <c r="L155" s="2"/>
    </row>
    <row r="156" spans="2:15" x14ac:dyDescent="0.3">
      <c r="B156" s="11">
        <v>46171</v>
      </c>
      <c r="C156" s="3">
        <v>162443.29</v>
      </c>
      <c r="D156" s="2">
        <v>160000</v>
      </c>
      <c r="E156" s="2">
        <f t="shared" si="14"/>
        <v>0</v>
      </c>
      <c r="F156" s="2">
        <f t="shared" si="11"/>
        <v>-160000</v>
      </c>
      <c r="G156" s="2">
        <f t="shared" si="12"/>
        <v>0</v>
      </c>
      <c r="H156">
        <v>0</v>
      </c>
      <c r="I156" s="3">
        <v>0</v>
      </c>
      <c r="J156" s="2" t="e">
        <f t="shared" si="13"/>
        <v>#DIV/0!</v>
      </c>
      <c r="K156" s="2"/>
      <c r="L156" s="2"/>
    </row>
    <row r="157" spans="2:15" x14ac:dyDescent="0.3">
      <c r="B157" s="11"/>
      <c r="C157" s="2"/>
      <c r="D157" s="2"/>
      <c r="E157" s="2"/>
      <c r="F157" s="2"/>
      <c r="G157" s="2"/>
      <c r="H157" s="2"/>
      <c r="I157" s="2"/>
      <c r="J157" s="2"/>
      <c r="K157" s="2"/>
      <c r="L157" s="2"/>
    </row>
    <row r="158" spans="2:15" x14ac:dyDescent="0.3">
      <c r="B158" s="11"/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 spans="2:15" x14ac:dyDescent="0.3">
      <c r="B159" s="11"/>
      <c r="C159" s="2"/>
      <c r="D159" s="2"/>
      <c r="E159" s="2"/>
      <c r="F159" s="2"/>
      <c r="G159" s="2"/>
      <c r="H159" s="2"/>
      <c r="I159" s="2"/>
      <c r="J159" s="2"/>
      <c r="K159" s="2"/>
      <c r="L159" s="2"/>
    </row>
    <row r="160" spans="2:15" x14ac:dyDescent="0.3">
      <c r="B160" s="2"/>
      <c r="C160" s="2"/>
      <c r="D160" s="2"/>
      <c r="E160" s="2"/>
      <c r="F160" s="2"/>
      <c r="G160" s="2"/>
      <c r="H160" s="2"/>
      <c r="I160" s="2"/>
      <c r="J160" s="5"/>
      <c r="K160" s="2"/>
      <c r="L160" s="2"/>
    </row>
    <row r="161" spans="2:12" x14ac:dyDescent="0.3">
      <c r="B161" s="2"/>
      <c r="C161" s="2"/>
      <c r="D161" s="2"/>
      <c r="E161" s="2"/>
      <c r="F161" s="2"/>
      <c r="G161" s="2"/>
      <c r="H161" s="2"/>
      <c r="I161" s="2"/>
      <c r="J161" s="5"/>
      <c r="K161" s="2"/>
      <c r="L161" s="2"/>
    </row>
    <row r="162" spans="2:12" x14ac:dyDescent="0.3">
      <c r="B162" s="2"/>
      <c r="C162" s="2"/>
      <c r="D162" s="2"/>
      <c r="E162" s="2"/>
      <c r="F162" s="2"/>
      <c r="G162" s="2"/>
      <c r="H162" s="2"/>
      <c r="I162" s="2"/>
    </row>
    <row r="163" spans="2:12" x14ac:dyDescent="0.3">
      <c r="B163" s="2"/>
      <c r="C163" s="2"/>
      <c r="D163" s="2"/>
      <c r="E163" s="2"/>
      <c r="F163" s="2"/>
      <c r="G163" s="2"/>
      <c r="H163" s="2"/>
      <c r="I163" s="2"/>
    </row>
    <row r="164" spans="2:12" x14ac:dyDescent="0.3">
      <c r="B164" s="2"/>
      <c r="C164" s="2"/>
      <c r="D164" s="2"/>
      <c r="E164" s="2"/>
      <c r="F164" s="2"/>
      <c r="G164" s="2"/>
      <c r="H164" s="2"/>
      <c r="I164" s="2"/>
    </row>
    <row r="165" spans="2:12" x14ac:dyDescent="0.3">
      <c r="B165" s="2"/>
      <c r="C165" s="2"/>
      <c r="D165" s="2"/>
      <c r="E165" s="2"/>
      <c r="F165" s="2"/>
      <c r="G165" s="2"/>
      <c r="H165" s="2"/>
      <c r="I165" s="2"/>
    </row>
    <row r="166" spans="2:12" x14ac:dyDescent="0.3">
      <c r="B166" s="2"/>
      <c r="C166" s="2"/>
      <c r="D166" s="2"/>
      <c r="E166" s="2"/>
      <c r="F166" s="2"/>
      <c r="G166" s="2"/>
      <c r="H166" s="2"/>
      <c r="I166" s="2"/>
    </row>
    <row r="167" spans="2:12" x14ac:dyDescent="0.3">
      <c r="B167" s="2"/>
      <c r="C167" s="2"/>
      <c r="D167" s="2"/>
      <c r="E167" s="2"/>
      <c r="F167" s="2"/>
      <c r="G167" s="2"/>
      <c r="H167" s="2"/>
      <c r="I167" s="2"/>
    </row>
    <row r="168" spans="2:12" x14ac:dyDescent="0.3">
      <c r="B168" s="2"/>
      <c r="C168" s="2"/>
      <c r="D168" s="2"/>
      <c r="E168" s="2"/>
      <c r="F168" s="2"/>
      <c r="G168" s="2"/>
      <c r="H168" s="2"/>
      <c r="I168" s="2"/>
    </row>
    <row r="169" spans="2:12" x14ac:dyDescent="0.3">
      <c r="B169" s="2"/>
      <c r="C169" s="2"/>
      <c r="D169" s="2"/>
      <c r="E169" s="2"/>
      <c r="F169" s="2"/>
      <c r="G169" s="2"/>
      <c r="H169" s="2"/>
      <c r="I169" s="2"/>
    </row>
    <row r="170" spans="2:12" x14ac:dyDescent="0.3">
      <c r="B170" s="2"/>
      <c r="C170" s="2"/>
      <c r="D170" s="2"/>
      <c r="E170" s="2"/>
      <c r="F170" s="2"/>
      <c r="G170" s="2"/>
      <c r="H170" s="2"/>
      <c r="I170" s="2"/>
    </row>
    <row r="171" spans="2:12" x14ac:dyDescent="0.3">
      <c r="B171" s="2"/>
      <c r="C171" s="2"/>
      <c r="D171" s="2"/>
      <c r="E171" s="2"/>
      <c r="F171" s="2"/>
      <c r="G171" s="2"/>
      <c r="H171" s="2"/>
      <c r="I171" s="2"/>
    </row>
    <row r="172" spans="2:12" x14ac:dyDescent="0.3">
      <c r="B172" s="2"/>
      <c r="C172" s="2"/>
      <c r="D172" s="2"/>
      <c r="E172" s="2"/>
      <c r="F172" s="2"/>
      <c r="G172" s="2"/>
      <c r="H172" s="2"/>
      <c r="I172" s="2"/>
    </row>
    <row r="173" spans="2:12" x14ac:dyDescent="0.3">
      <c r="B173" s="2"/>
      <c r="C173" s="2"/>
      <c r="D173" s="2"/>
      <c r="E173" s="2"/>
      <c r="F173" s="2"/>
      <c r="G173" s="2"/>
      <c r="H173" s="2"/>
      <c r="I173" s="2"/>
    </row>
    <row r="174" spans="2:12" x14ac:dyDescent="0.3">
      <c r="B174" s="2"/>
      <c r="C174" s="2"/>
      <c r="D174" s="2"/>
      <c r="E174" s="2"/>
      <c r="F174" s="2"/>
      <c r="G174" s="2"/>
      <c r="H174" s="2"/>
      <c r="I174" s="2"/>
    </row>
    <row r="175" spans="2:12" x14ac:dyDescent="0.3">
      <c r="B175" s="2"/>
      <c r="C175" s="2"/>
      <c r="D175" s="2"/>
      <c r="E175" s="2"/>
      <c r="F175" s="2"/>
      <c r="G175" s="2"/>
      <c r="H175" s="2"/>
      <c r="I175" s="2"/>
    </row>
    <row r="176" spans="2:12" x14ac:dyDescent="0.3">
      <c r="B176" s="2"/>
      <c r="C176" s="2"/>
      <c r="D176" s="2"/>
      <c r="E176" s="2"/>
      <c r="F176" s="2"/>
      <c r="G176" s="2"/>
      <c r="H176" s="2"/>
      <c r="I176" s="2"/>
    </row>
    <row r="177" spans="1:15" x14ac:dyDescent="0.3">
      <c r="B177" s="2"/>
      <c r="C177" s="2"/>
      <c r="D177" s="2"/>
      <c r="E177" s="2"/>
      <c r="F177" s="2"/>
      <c r="G177" s="2"/>
      <c r="H177" s="2"/>
      <c r="I177" s="2"/>
    </row>
    <row r="178" spans="1:15" x14ac:dyDescent="0.3">
      <c r="B178" s="2"/>
      <c r="C178" s="2"/>
      <c r="D178" s="2"/>
      <c r="E178" s="2"/>
      <c r="F178" s="2"/>
      <c r="G178" s="2"/>
      <c r="H178" s="2"/>
      <c r="I178" s="2"/>
    </row>
    <row r="179" spans="1:15" x14ac:dyDescent="0.3">
      <c r="B179" s="2"/>
      <c r="C179" s="2"/>
      <c r="D179" s="2"/>
      <c r="E179" s="2"/>
      <c r="F179" s="2"/>
      <c r="G179" s="2"/>
      <c r="H179" s="2"/>
      <c r="I179" s="2"/>
    </row>
    <row r="180" spans="1:15" x14ac:dyDescent="0.3">
      <c r="B180" s="2"/>
      <c r="C180" s="2"/>
      <c r="D180" s="2"/>
      <c r="E180" s="2"/>
      <c r="F180" s="2"/>
      <c r="G180" s="2"/>
      <c r="H180" s="2"/>
      <c r="I180" s="2"/>
    </row>
    <row r="181" spans="1:15" x14ac:dyDescent="0.3">
      <c r="B181" s="2"/>
      <c r="C181" s="2"/>
      <c r="D181" s="2"/>
      <c r="E181" s="2"/>
      <c r="F181" s="2"/>
      <c r="G181" s="2"/>
      <c r="H181" s="2"/>
      <c r="I181" s="2"/>
    </row>
    <row r="182" spans="1:15" x14ac:dyDescent="0.3">
      <c r="B182" s="2"/>
      <c r="C182" s="2"/>
      <c r="D182" s="2"/>
      <c r="E182" s="2"/>
      <c r="F182" s="2"/>
      <c r="G182" s="2"/>
      <c r="H182" s="2"/>
      <c r="I182" s="2"/>
    </row>
    <row r="185" spans="1:15" s="4" customFormat="1" x14ac:dyDescent="0.3">
      <c r="A185" s="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</row>
    <row r="186" spans="1:15" s="4" customFormat="1" x14ac:dyDescent="0.3">
      <c r="A186" s="5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</row>
    <row r="187" spans="1:15" s="4" customFormat="1" x14ac:dyDescent="0.3">
      <c r="A187" s="5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</row>
    <row r="188" spans="1:15" s="4" customFormat="1" x14ac:dyDescent="0.3">
      <c r="A188" s="5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</row>
    <row r="189" spans="1:15" s="4" customFormat="1" x14ac:dyDescent="0.3">
      <c r="A189" s="5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</row>
    <row r="190" spans="1:15" s="4" customFormat="1" x14ac:dyDescent="0.3">
      <c r="A190" s="5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</row>
    <row r="191" spans="1:15" s="4" customFormat="1" x14ac:dyDescent="0.3">
      <c r="A191" s="5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</row>
    <row r="192" spans="1:15" s="4" customFormat="1" x14ac:dyDescent="0.3">
      <c r="A192" s="5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</row>
    <row r="193" spans="1:15" s="4" customFormat="1" x14ac:dyDescent="0.3">
      <c r="A193" s="5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</row>
    <row r="194" spans="1:15" s="4" customFormat="1" x14ac:dyDescent="0.3">
      <c r="A194" s="5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</row>
    <row r="195" spans="1:15" s="4" customFormat="1" x14ac:dyDescent="0.3">
      <c r="A195" s="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</row>
    <row r="196" spans="1:15" s="4" customFormat="1" x14ac:dyDescent="0.3">
      <c r="A196" s="5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</row>
    <row r="197" spans="1:15" s="4" customFormat="1" x14ac:dyDescent="0.3">
      <c r="A197" s="5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</row>
    <row r="198" spans="1:15" s="4" customFormat="1" x14ac:dyDescent="0.3">
      <c r="A198" s="5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</row>
    <row r="199" spans="1:15" s="4" customFormat="1" x14ac:dyDescent="0.3">
      <c r="A199" s="5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</row>
    <row r="200" spans="1:15" s="4" customFormat="1" x14ac:dyDescent="0.3">
      <c r="A200" s="5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</row>
    <row r="201" spans="1:15" s="4" customFormat="1" x14ac:dyDescent="0.3">
      <c r="A201" s="5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</row>
    <row r="202" spans="1:15" s="4" customFormat="1" x14ac:dyDescent="0.3">
      <c r="A202" s="5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</row>
    <row r="203" spans="1:15" s="4" customFormat="1" x14ac:dyDescent="0.3">
      <c r="A203" s="5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</row>
    <row r="204" spans="1:15" s="4" customFormat="1" x14ac:dyDescent="0.3">
      <c r="A204" s="5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</row>
    <row r="205" spans="1:15" s="4" customFormat="1" x14ac:dyDescent="0.3">
      <c r="A205" s="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</row>
    <row r="206" spans="1:15" s="4" customFormat="1" x14ac:dyDescent="0.3">
      <c r="A206" s="5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</row>
    <row r="207" spans="1:15" s="4" customFormat="1" x14ac:dyDescent="0.3">
      <c r="A207" s="5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</row>
    <row r="208" spans="1:15" s="4" customFormat="1" x14ac:dyDescent="0.3">
      <c r="A208" s="5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</row>
    <row r="209" spans="1:15" s="4" customFormat="1" x14ac:dyDescent="0.3">
      <c r="A209" s="5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</row>
    <row r="210" spans="1:15" s="4" customFormat="1" x14ac:dyDescent="0.3">
      <c r="A210" s="5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</row>
    <row r="211" spans="1:15" s="4" customFormat="1" x14ac:dyDescent="0.3">
      <c r="A211" s="5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</row>
    <row r="212" spans="1:15" s="4" customFormat="1" x14ac:dyDescent="0.3">
      <c r="A212" s="5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</row>
    <row r="213" spans="1:15" s="4" customFormat="1" x14ac:dyDescent="0.3">
      <c r="A213" s="5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</row>
    <row r="214" spans="1:15" s="4" customFormat="1" x14ac:dyDescent="0.3">
      <c r="A214" s="5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</row>
    <row r="215" spans="1:15" s="4" customFormat="1" x14ac:dyDescent="0.3">
      <c r="A215" s="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</row>
    <row r="216" spans="1:15" s="4" customFormat="1" x14ac:dyDescent="0.3">
      <c r="A216" s="5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</row>
    <row r="217" spans="1:15" s="4" customFormat="1" x14ac:dyDescent="0.3">
      <c r="A217" s="5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</row>
    <row r="218" spans="1:15" s="4" customFormat="1" x14ac:dyDescent="0.3">
      <c r="A218" s="5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</row>
    <row r="219" spans="1:15" s="4" customFormat="1" x14ac:dyDescent="0.3">
      <c r="A219" s="5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</row>
    <row r="220" spans="1:15" s="4" customFormat="1" x14ac:dyDescent="0.3">
      <c r="A220" s="5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</row>
    <row r="221" spans="1:15" s="4" customFormat="1" x14ac:dyDescent="0.3">
      <c r="A221" s="5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</row>
    <row r="222" spans="1:15" s="4" customFormat="1" x14ac:dyDescent="0.3">
      <c r="A222" s="5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</row>
    <row r="223" spans="1:15" s="4" customFormat="1" x14ac:dyDescent="0.3">
      <c r="A223" s="5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</row>
    <row r="224" spans="1:15" s="4" customFormat="1" x14ac:dyDescent="0.3">
      <c r="A224" s="5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</row>
    <row r="225" spans="1:15" s="4" customFormat="1" x14ac:dyDescent="0.3">
      <c r="A225" s="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</row>
    <row r="226" spans="1:15" s="4" customFormat="1" x14ac:dyDescent="0.3">
      <c r="A226" s="5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</row>
    <row r="227" spans="1:15" s="4" customFormat="1" x14ac:dyDescent="0.3">
      <c r="A227" s="5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</row>
    <row r="228" spans="1:15" s="4" customFormat="1" x14ac:dyDescent="0.3">
      <c r="A228" s="5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</row>
    <row r="229" spans="1:15" s="4" customFormat="1" x14ac:dyDescent="0.3">
      <c r="A229" s="5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</row>
    <row r="230" spans="1:15" s="4" customFormat="1" x14ac:dyDescent="0.3">
      <c r="A230" s="5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</row>
    <row r="231" spans="1:15" s="4" customFormat="1" x14ac:dyDescent="0.3">
      <c r="A231" s="5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</row>
    <row r="232" spans="1:15" s="4" customFormat="1" x14ac:dyDescent="0.3">
      <c r="A232" s="5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</row>
    <row r="233" spans="1:15" s="4" customFormat="1" x14ac:dyDescent="0.3">
      <c r="A233" s="5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</row>
    <row r="234" spans="1:15" s="4" customFormat="1" x14ac:dyDescent="0.3">
      <c r="A234" s="5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</row>
    <row r="235" spans="1:15" s="4" customFormat="1" x14ac:dyDescent="0.3">
      <c r="A235" s="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</row>
    <row r="236" spans="1:15" s="4" customFormat="1" x14ac:dyDescent="0.3">
      <c r="A236" s="5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</row>
    <row r="237" spans="1:15" s="4" customFormat="1" x14ac:dyDescent="0.3">
      <c r="A237" s="5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</row>
    <row r="238" spans="1:15" s="4" customFormat="1" x14ac:dyDescent="0.3">
      <c r="A238" s="5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</row>
    <row r="239" spans="1:15" s="4" customFormat="1" x14ac:dyDescent="0.3">
      <c r="A239" s="5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</row>
    <row r="240" spans="1:15" s="4" customFormat="1" x14ac:dyDescent="0.3">
      <c r="A240" s="5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</row>
    <row r="241" spans="1:15" s="4" customFormat="1" x14ac:dyDescent="0.3">
      <c r="A241" s="5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</row>
    <row r="242" spans="1:15" s="4" customFormat="1" x14ac:dyDescent="0.3">
      <c r="A242" s="5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</row>
    <row r="243" spans="1:15" s="4" customFormat="1" x14ac:dyDescent="0.3">
      <c r="A243" s="5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</row>
    <row r="244" spans="1:15" s="4" customFormat="1" x14ac:dyDescent="0.3">
      <c r="A244" s="5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</row>
    <row r="245" spans="1:15" s="4" customFormat="1" x14ac:dyDescent="0.3">
      <c r="A245" s="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</row>
    <row r="246" spans="1:15" s="4" customFormat="1" x14ac:dyDescent="0.3">
      <c r="A246" s="5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</row>
    <row r="247" spans="1:15" s="4" customFormat="1" x14ac:dyDescent="0.3">
      <c r="A247" s="5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</row>
    <row r="248" spans="1:15" s="4" customFormat="1" x14ac:dyDescent="0.3">
      <c r="A248" s="5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</row>
    <row r="249" spans="1:15" s="4" customFormat="1" x14ac:dyDescent="0.3">
      <c r="A249" s="5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</row>
    <row r="250" spans="1:15" s="4" customFormat="1" x14ac:dyDescent="0.3">
      <c r="A250" s="5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</row>
    <row r="251" spans="1:15" s="4" customFormat="1" x14ac:dyDescent="0.3">
      <c r="A251" s="5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</row>
    <row r="252" spans="1:15" s="4" customFormat="1" x14ac:dyDescent="0.3">
      <c r="A252" s="5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</row>
    <row r="253" spans="1:15" s="4" customFormat="1" x14ac:dyDescent="0.3">
      <c r="A253" s="5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</row>
    <row r="254" spans="1:15" s="4" customFormat="1" x14ac:dyDescent="0.3">
      <c r="A254" s="5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</row>
    <row r="255" spans="1:15" s="4" customFormat="1" x14ac:dyDescent="0.3">
      <c r="A255" s="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</row>
    <row r="256" spans="1:15" s="4" customFormat="1" x14ac:dyDescent="0.3">
      <c r="A256" s="5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</row>
    <row r="257" spans="1:15" s="4" customFormat="1" x14ac:dyDescent="0.3">
      <c r="A257" s="5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</row>
    <row r="258" spans="1:15" s="4" customFormat="1" x14ac:dyDescent="0.3">
      <c r="A258" s="5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</row>
    <row r="259" spans="1:15" s="4" customFormat="1" x14ac:dyDescent="0.3">
      <c r="A259" s="5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</row>
    <row r="260" spans="1:15" s="4" customFormat="1" x14ac:dyDescent="0.3">
      <c r="A260" s="5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</row>
    <row r="261" spans="1:15" s="4" customFormat="1" x14ac:dyDescent="0.3">
      <c r="A261" s="5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</row>
    <row r="262" spans="1:15" s="4" customFormat="1" x14ac:dyDescent="0.3">
      <c r="A262" s="5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</row>
    <row r="263" spans="1:15" s="4" customFormat="1" x14ac:dyDescent="0.3">
      <c r="A263" s="5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</row>
    <row r="264" spans="1:15" s="4" customFormat="1" x14ac:dyDescent="0.3">
      <c r="A264" s="5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</row>
    <row r="265" spans="1:15" s="4" customFormat="1" x14ac:dyDescent="0.3">
      <c r="A265" s="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</row>
    <row r="266" spans="1:15" s="4" customFormat="1" x14ac:dyDescent="0.3">
      <c r="A266" s="5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</row>
    <row r="267" spans="1:15" s="4" customFormat="1" x14ac:dyDescent="0.3">
      <c r="A267" s="5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</row>
    <row r="268" spans="1:15" s="4" customFormat="1" x14ac:dyDescent="0.3">
      <c r="A268" s="5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</row>
    <row r="269" spans="1:15" s="4" customFormat="1" x14ac:dyDescent="0.3">
      <c r="A269" s="5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</row>
    <row r="270" spans="1:15" s="4" customFormat="1" x14ac:dyDescent="0.3">
      <c r="A270" s="5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</row>
    <row r="271" spans="1:15" s="4" customFormat="1" x14ac:dyDescent="0.3">
      <c r="A271" s="5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</row>
    <row r="272" spans="1:15" s="4" customFormat="1" x14ac:dyDescent="0.3">
      <c r="A272" s="5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</row>
    <row r="273" spans="1:15" s="4" customFormat="1" x14ac:dyDescent="0.3">
      <c r="A273" s="5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</row>
    <row r="274" spans="1:15" s="4" customFormat="1" x14ac:dyDescent="0.3">
      <c r="A274" s="5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</row>
    <row r="275" spans="1:15" s="4" customFormat="1" x14ac:dyDescent="0.3">
      <c r="A275" s="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</row>
    <row r="276" spans="1:15" s="4" customFormat="1" x14ac:dyDescent="0.3">
      <c r="A276" s="5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</row>
    <row r="277" spans="1:15" s="4" customFormat="1" x14ac:dyDescent="0.3">
      <c r="A277" s="5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</row>
    <row r="278" spans="1:15" s="4" customFormat="1" x14ac:dyDescent="0.3">
      <c r="A278" s="5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</row>
    <row r="279" spans="1:15" s="4" customFormat="1" x14ac:dyDescent="0.3">
      <c r="A279" s="5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</row>
    <row r="280" spans="1:15" s="4" customFormat="1" x14ac:dyDescent="0.3">
      <c r="A280" s="5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</row>
    <row r="281" spans="1:15" s="4" customFormat="1" x14ac:dyDescent="0.3">
      <c r="A281" s="5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</row>
    <row r="282" spans="1:15" s="4" customFormat="1" x14ac:dyDescent="0.3">
      <c r="A282" s="5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</row>
    <row r="283" spans="1:15" s="4" customFormat="1" x14ac:dyDescent="0.3">
      <c r="A283" s="5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</row>
    <row r="284" spans="1:15" s="4" customFormat="1" x14ac:dyDescent="0.3">
      <c r="A284" s="5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</row>
    <row r="285" spans="1:15" s="4" customFormat="1" x14ac:dyDescent="0.3">
      <c r="A285" s="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</row>
    <row r="286" spans="1:15" s="4" customFormat="1" x14ac:dyDescent="0.3">
      <c r="A286" s="5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</row>
    <row r="287" spans="1:15" s="4" customFormat="1" x14ac:dyDescent="0.3">
      <c r="A287" s="5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</row>
    <row r="288" spans="1:15" s="4" customFormat="1" x14ac:dyDescent="0.3">
      <c r="A288" s="5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</row>
    <row r="289" spans="1:15" s="4" customFormat="1" x14ac:dyDescent="0.3">
      <c r="A289" s="5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</row>
    <row r="290" spans="1:15" s="4" customFormat="1" x14ac:dyDescent="0.3">
      <c r="A290" s="5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</row>
    <row r="291" spans="1:15" s="4" customFormat="1" x14ac:dyDescent="0.3">
      <c r="A291" s="5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</row>
    <row r="292" spans="1:15" s="4" customFormat="1" x14ac:dyDescent="0.3">
      <c r="A292" s="5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</row>
    <row r="293" spans="1:15" s="4" customFormat="1" x14ac:dyDescent="0.3">
      <c r="A293" s="5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</row>
    <row r="294" spans="1:15" s="4" customFormat="1" x14ac:dyDescent="0.3">
      <c r="A294" s="5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</row>
    <row r="295" spans="1:15" s="4" customFormat="1" x14ac:dyDescent="0.3">
      <c r="A295" s="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</row>
    <row r="296" spans="1:15" s="4" customFormat="1" x14ac:dyDescent="0.3">
      <c r="A296" s="5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</row>
    <row r="297" spans="1:15" s="4" customFormat="1" x14ac:dyDescent="0.3">
      <c r="A297" s="5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</row>
    <row r="298" spans="1:15" s="4" customFormat="1" x14ac:dyDescent="0.3">
      <c r="A298" s="5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</row>
    <row r="299" spans="1:15" s="4" customFormat="1" x14ac:dyDescent="0.3">
      <c r="A299" s="5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</row>
    <row r="300" spans="1:15" s="4" customFormat="1" x14ac:dyDescent="0.3">
      <c r="A300" s="5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</row>
    <row r="301" spans="1:15" s="4" customFormat="1" x14ac:dyDescent="0.3">
      <c r="A301" s="5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</row>
    <row r="302" spans="1:15" s="4" customFormat="1" x14ac:dyDescent="0.3">
      <c r="A302" s="5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</row>
    <row r="303" spans="1:15" s="4" customFormat="1" x14ac:dyDescent="0.3">
      <c r="A303" s="5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</row>
    <row r="304" spans="1:15" s="4" customFormat="1" x14ac:dyDescent="0.3">
      <c r="A304" s="5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</row>
    <row r="305" spans="1:15" s="4" customFormat="1" x14ac:dyDescent="0.3">
      <c r="A305" s="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</row>
    <row r="306" spans="1:15" s="4" customFormat="1" x14ac:dyDescent="0.3">
      <c r="A306" s="5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</row>
    <row r="307" spans="1:15" s="4" customFormat="1" x14ac:dyDescent="0.3">
      <c r="A307" s="5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</row>
    <row r="308" spans="1:15" s="4" customFormat="1" x14ac:dyDescent="0.3">
      <c r="A308" s="5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</row>
    <row r="309" spans="1:15" s="4" customFormat="1" x14ac:dyDescent="0.3">
      <c r="A309" s="5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</row>
    <row r="310" spans="1:15" s="4" customFormat="1" x14ac:dyDescent="0.3">
      <c r="A310" s="5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</row>
    <row r="311" spans="1:15" s="4" customFormat="1" x14ac:dyDescent="0.3">
      <c r="A311" s="5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</row>
    <row r="312" spans="1:15" s="4" customFormat="1" x14ac:dyDescent="0.3">
      <c r="A312" s="5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</row>
    <row r="313" spans="1:15" s="4" customFormat="1" x14ac:dyDescent="0.3">
      <c r="A313" s="5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</row>
    <row r="314" spans="1:15" s="4" customFormat="1" x14ac:dyDescent="0.3">
      <c r="A314" s="5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</row>
    <row r="315" spans="1:15" s="4" customFormat="1" x14ac:dyDescent="0.3">
      <c r="A315" s="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</row>
    <row r="316" spans="1:15" s="4" customFormat="1" x14ac:dyDescent="0.3">
      <c r="A316" s="5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</row>
    <row r="317" spans="1:15" s="4" customFormat="1" x14ac:dyDescent="0.3">
      <c r="A317" s="5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</row>
    <row r="318" spans="1:15" s="4" customFormat="1" x14ac:dyDescent="0.3">
      <c r="A318" s="5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</row>
    <row r="319" spans="1:15" s="4" customFormat="1" x14ac:dyDescent="0.3">
      <c r="A319" s="5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</row>
    <row r="320" spans="1:15" s="4" customFormat="1" x14ac:dyDescent="0.3">
      <c r="A320" s="5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</row>
    <row r="321" spans="1:15" s="4" customFormat="1" x14ac:dyDescent="0.3">
      <c r="A321" s="5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</row>
    <row r="322" spans="1:15" s="4" customFormat="1" x14ac:dyDescent="0.3">
      <c r="A322" s="5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</row>
    <row r="323" spans="1:15" s="4" customFormat="1" x14ac:dyDescent="0.3">
      <c r="A323" s="5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</row>
    <row r="324" spans="1:15" s="4" customFormat="1" x14ac:dyDescent="0.3">
      <c r="A324" s="5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</row>
    <row r="325" spans="1:15" s="4" customFormat="1" x14ac:dyDescent="0.3">
      <c r="A325" s="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</row>
    <row r="326" spans="1:15" s="4" customFormat="1" x14ac:dyDescent="0.3">
      <c r="A326" s="5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</row>
    <row r="327" spans="1:15" s="4" customFormat="1" x14ac:dyDescent="0.3">
      <c r="A327" s="5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</row>
    <row r="328" spans="1:15" s="4" customFormat="1" x14ac:dyDescent="0.3">
      <c r="A328" s="5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</row>
    <row r="329" spans="1:15" s="4" customFormat="1" x14ac:dyDescent="0.3">
      <c r="A329" s="5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</row>
    <row r="330" spans="1:15" s="4" customFormat="1" x14ac:dyDescent="0.3">
      <c r="A330" s="5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</row>
    <row r="331" spans="1:15" s="4" customFormat="1" x14ac:dyDescent="0.3">
      <c r="A331" s="5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</row>
    <row r="332" spans="1:15" s="4" customFormat="1" x14ac:dyDescent="0.3">
      <c r="A332" s="5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</row>
    <row r="333" spans="1:15" s="4" customFormat="1" x14ac:dyDescent="0.3">
      <c r="A333" s="5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</row>
    <row r="334" spans="1:15" s="4" customFormat="1" x14ac:dyDescent="0.3">
      <c r="A334" s="5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</row>
    <row r="335" spans="1:15" s="4" customFormat="1" x14ac:dyDescent="0.3">
      <c r="A335" s="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</row>
    <row r="336" spans="1:15" s="4" customFormat="1" x14ac:dyDescent="0.3">
      <c r="A336" s="5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</row>
    <row r="337" spans="1:15" s="4" customFormat="1" x14ac:dyDescent="0.3">
      <c r="A337" s="5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</row>
    <row r="338" spans="1:15" s="4" customFormat="1" x14ac:dyDescent="0.3">
      <c r="A338" s="5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</row>
    <row r="339" spans="1:15" s="4" customFormat="1" x14ac:dyDescent="0.3">
      <c r="A339" s="5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</row>
    <row r="340" spans="1:15" s="4" customFormat="1" x14ac:dyDescent="0.3">
      <c r="A340" s="5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</row>
    <row r="341" spans="1:15" s="4" customFormat="1" x14ac:dyDescent="0.3">
      <c r="A341" s="5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</row>
    <row r="342" spans="1:15" s="4" customFormat="1" x14ac:dyDescent="0.3">
      <c r="A342" s="5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</row>
    <row r="343" spans="1:15" s="4" customFormat="1" x14ac:dyDescent="0.3">
      <c r="A343" s="5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</row>
    <row r="344" spans="1:15" s="4" customFormat="1" x14ac:dyDescent="0.3">
      <c r="A344" s="5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</row>
    <row r="345" spans="1:15" s="4" customFormat="1" x14ac:dyDescent="0.3">
      <c r="A345" s="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</row>
    <row r="346" spans="1:15" s="4" customFormat="1" x14ac:dyDescent="0.3">
      <c r="A346" s="5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</row>
    <row r="347" spans="1:15" s="4" customFormat="1" x14ac:dyDescent="0.3">
      <c r="A347" s="5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</row>
    <row r="348" spans="1:15" s="4" customFormat="1" x14ac:dyDescent="0.3">
      <c r="A348" s="5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</row>
    <row r="349" spans="1:15" s="4" customFormat="1" x14ac:dyDescent="0.3">
      <c r="A349" s="5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</row>
    <row r="350" spans="1:15" s="4" customFormat="1" x14ac:dyDescent="0.3">
      <c r="A350" s="5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</row>
    <row r="351" spans="1:15" s="4" customFormat="1" x14ac:dyDescent="0.3">
      <c r="A351" s="5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</row>
    <row r="352" spans="1:15" s="4" customFormat="1" x14ac:dyDescent="0.3">
      <c r="A352" s="5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</row>
    <row r="353" spans="1:15" s="4" customFormat="1" x14ac:dyDescent="0.3">
      <c r="A353" s="5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</row>
    <row r="354" spans="1:15" s="4" customFormat="1" x14ac:dyDescent="0.3">
      <c r="A354" s="5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</row>
    <row r="355" spans="1:15" s="4" customFormat="1" x14ac:dyDescent="0.3">
      <c r="A355" s="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</row>
    <row r="356" spans="1:15" s="4" customFormat="1" x14ac:dyDescent="0.3">
      <c r="A356" s="5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</row>
    <row r="357" spans="1:15" s="4" customFormat="1" x14ac:dyDescent="0.3">
      <c r="A357" s="5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</row>
    <row r="358" spans="1:15" s="4" customFormat="1" x14ac:dyDescent="0.3">
      <c r="A358" s="5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</row>
    <row r="359" spans="1:15" s="4" customFormat="1" x14ac:dyDescent="0.3">
      <c r="A359" s="5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</row>
    <row r="360" spans="1:15" s="4" customFormat="1" x14ac:dyDescent="0.3">
      <c r="A360" s="5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</row>
    <row r="361" spans="1:15" s="4" customFormat="1" x14ac:dyDescent="0.3">
      <c r="A361" s="5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</row>
    <row r="362" spans="1:15" s="4" customFormat="1" x14ac:dyDescent="0.3">
      <c r="A362" s="5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</row>
    <row r="363" spans="1:15" s="4" customFormat="1" x14ac:dyDescent="0.3">
      <c r="A363" s="5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</row>
    <row r="364" spans="1:15" s="4" customFormat="1" x14ac:dyDescent="0.3">
      <c r="A364" s="5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</row>
    <row r="365" spans="1:15" s="4" customFormat="1" x14ac:dyDescent="0.3">
      <c r="A365" s="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</row>
    <row r="366" spans="1:15" s="4" customFormat="1" x14ac:dyDescent="0.3">
      <c r="A366" s="5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</row>
    <row r="367" spans="1:15" s="4" customFormat="1" x14ac:dyDescent="0.3">
      <c r="A367" s="5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</row>
    <row r="368" spans="1:15" s="4" customFormat="1" x14ac:dyDescent="0.3">
      <c r="A368" s="5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</row>
    <row r="369" spans="1:15" s="4" customFormat="1" x14ac:dyDescent="0.3">
      <c r="A369" s="5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</row>
    <row r="370" spans="1:15" s="4" customFormat="1" x14ac:dyDescent="0.3">
      <c r="A370" s="5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</row>
    <row r="371" spans="1:15" s="4" customFormat="1" x14ac:dyDescent="0.3">
      <c r="A371" s="5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</row>
    <row r="372" spans="1:15" s="4" customFormat="1" x14ac:dyDescent="0.3">
      <c r="A372" s="5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</row>
    <row r="373" spans="1:15" s="4" customFormat="1" x14ac:dyDescent="0.3">
      <c r="A373" s="5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</row>
    <row r="374" spans="1:15" s="4" customFormat="1" x14ac:dyDescent="0.3">
      <c r="A374" s="5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</row>
    <row r="375" spans="1:15" s="4" customFormat="1" x14ac:dyDescent="0.3">
      <c r="A375" s="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</row>
    <row r="376" spans="1:15" s="4" customFormat="1" x14ac:dyDescent="0.3">
      <c r="A376" s="5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</row>
    <row r="377" spans="1:15" s="4" customFormat="1" x14ac:dyDescent="0.3">
      <c r="A377" s="5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</row>
    <row r="378" spans="1:15" s="4" customFormat="1" x14ac:dyDescent="0.3">
      <c r="A378" s="5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</row>
    <row r="379" spans="1:15" s="4" customFormat="1" x14ac:dyDescent="0.3">
      <c r="A379" s="5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</row>
    <row r="380" spans="1:15" s="4" customFormat="1" x14ac:dyDescent="0.3">
      <c r="A380" s="5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</row>
    <row r="381" spans="1:15" s="4" customFormat="1" x14ac:dyDescent="0.3">
      <c r="A381" s="5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</row>
    <row r="382" spans="1:15" s="4" customFormat="1" x14ac:dyDescent="0.3">
      <c r="A382" s="5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</row>
    <row r="383" spans="1:15" s="4" customFormat="1" x14ac:dyDescent="0.3">
      <c r="A383" s="5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</row>
    <row r="384" spans="1:15" s="4" customFormat="1" x14ac:dyDescent="0.3">
      <c r="A384" s="5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</row>
    <row r="385" spans="1:15" s="4" customFormat="1" x14ac:dyDescent="0.3">
      <c r="A385" s="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</row>
    <row r="386" spans="1:15" s="4" customFormat="1" x14ac:dyDescent="0.3">
      <c r="A386" s="5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</row>
    <row r="387" spans="1:15" s="4" customFormat="1" x14ac:dyDescent="0.3">
      <c r="A387" s="5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</row>
    <row r="388" spans="1:15" s="4" customFormat="1" x14ac:dyDescent="0.3">
      <c r="A388" s="5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</row>
    <row r="389" spans="1:15" s="4" customFormat="1" x14ac:dyDescent="0.3">
      <c r="A389" s="5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</row>
    <row r="390" spans="1:15" s="4" customFormat="1" x14ac:dyDescent="0.3">
      <c r="A390" s="5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</row>
    <row r="391" spans="1:15" s="4" customFormat="1" x14ac:dyDescent="0.3">
      <c r="A391" s="5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</row>
    <row r="392" spans="1:15" s="4" customFormat="1" x14ac:dyDescent="0.3">
      <c r="A392" s="5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</row>
    <row r="393" spans="1:15" s="4" customFormat="1" x14ac:dyDescent="0.3">
      <c r="A393" s="5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</row>
    <row r="394" spans="1:15" s="4" customFormat="1" x14ac:dyDescent="0.3">
      <c r="A394" s="5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</row>
    <row r="395" spans="1:15" s="4" customFormat="1" x14ac:dyDescent="0.3">
      <c r="A395" s="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</row>
    <row r="396" spans="1:15" s="4" customFormat="1" x14ac:dyDescent="0.3">
      <c r="A396" s="5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</row>
    <row r="397" spans="1:15" s="4" customFormat="1" x14ac:dyDescent="0.3">
      <c r="A397" s="5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</row>
    <row r="398" spans="1:15" s="4" customFormat="1" x14ac:dyDescent="0.3">
      <c r="A398" s="5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</row>
    <row r="399" spans="1:15" s="4" customFormat="1" x14ac:dyDescent="0.3">
      <c r="A399" s="5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</row>
    <row r="400" spans="1:15" s="4" customFormat="1" x14ac:dyDescent="0.3">
      <c r="A400" s="5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</row>
    <row r="401" spans="1:15" s="4" customFormat="1" x14ac:dyDescent="0.3">
      <c r="A401" s="5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</row>
    <row r="402" spans="1:15" s="4" customFormat="1" x14ac:dyDescent="0.3">
      <c r="A402" s="5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</row>
    <row r="403" spans="1:15" s="4" customFormat="1" x14ac:dyDescent="0.3">
      <c r="A403" s="5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</row>
    <row r="404" spans="1:15" s="4" customFormat="1" x14ac:dyDescent="0.3">
      <c r="A404" s="5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</row>
    <row r="405" spans="1:15" s="4" customFormat="1" x14ac:dyDescent="0.3">
      <c r="A405" s="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</row>
    <row r="406" spans="1:15" s="4" customFormat="1" x14ac:dyDescent="0.3">
      <c r="A406" s="5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</row>
    <row r="407" spans="1:15" s="4" customFormat="1" x14ac:dyDescent="0.3">
      <c r="A407" s="5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</row>
    <row r="408" spans="1:15" s="4" customFormat="1" x14ac:dyDescent="0.3">
      <c r="A408" s="5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</row>
    <row r="409" spans="1:15" s="4" customFormat="1" x14ac:dyDescent="0.3">
      <c r="A409" s="5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</row>
    <row r="410" spans="1:15" s="4" customFormat="1" x14ac:dyDescent="0.3">
      <c r="A410" s="5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</row>
    <row r="411" spans="1:15" s="4" customFormat="1" x14ac:dyDescent="0.3">
      <c r="A411" s="5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</row>
    <row r="412" spans="1:15" s="4" customFormat="1" x14ac:dyDescent="0.3">
      <c r="A412" s="5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</row>
    <row r="413" spans="1:15" s="4" customFormat="1" x14ac:dyDescent="0.3">
      <c r="A413" s="5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</row>
    <row r="414" spans="1:15" s="4" customFormat="1" x14ac:dyDescent="0.3">
      <c r="A414" s="5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</row>
    <row r="415" spans="1:15" s="4" customFormat="1" x14ac:dyDescent="0.3">
      <c r="A415" s="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</row>
    <row r="416" spans="1:15" s="4" customFormat="1" x14ac:dyDescent="0.3">
      <c r="A416" s="5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</row>
    <row r="417" spans="1:15" s="4" customFormat="1" x14ac:dyDescent="0.3">
      <c r="A417" s="5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</row>
    <row r="418" spans="1:15" s="4" customFormat="1" x14ac:dyDescent="0.3">
      <c r="A418" s="5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</row>
    <row r="419" spans="1:15" s="4" customFormat="1" x14ac:dyDescent="0.3">
      <c r="A419" s="5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</row>
    <row r="420" spans="1:15" s="4" customFormat="1" x14ac:dyDescent="0.3">
      <c r="A420" s="5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</row>
    <row r="421" spans="1:15" s="4" customFormat="1" x14ac:dyDescent="0.3">
      <c r="A421" s="5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</row>
    <row r="422" spans="1:15" s="4" customFormat="1" x14ac:dyDescent="0.3">
      <c r="A422" s="5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</row>
    <row r="423" spans="1:15" s="4" customFormat="1" x14ac:dyDescent="0.3">
      <c r="A423" s="5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</row>
    <row r="424" spans="1:15" s="4" customFormat="1" x14ac:dyDescent="0.3">
      <c r="A424" s="5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</row>
    <row r="425" spans="1:15" s="4" customFormat="1" x14ac:dyDescent="0.3">
      <c r="A425" s="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</row>
    <row r="426" spans="1:15" s="4" customFormat="1" x14ac:dyDescent="0.3">
      <c r="A426" s="5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</row>
    <row r="427" spans="1:15" s="4" customFormat="1" x14ac:dyDescent="0.3">
      <c r="A427" s="5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</row>
    <row r="428" spans="1:15" s="4" customFormat="1" x14ac:dyDescent="0.3">
      <c r="A428" s="5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</row>
    <row r="429" spans="1:15" s="4" customFormat="1" x14ac:dyDescent="0.3">
      <c r="A429" s="5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</row>
    <row r="430" spans="1:15" s="4" customFormat="1" x14ac:dyDescent="0.3">
      <c r="A430" s="5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</row>
    <row r="431" spans="1:15" s="4" customFormat="1" x14ac:dyDescent="0.3">
      <c r="A431" s="5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</row>
    <row r="432" spans="1:15" s="4" customFormat="1" x14ac:dyDescent="0.3">
      <c r="A432" s="5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</row>
    <row r="433" spans="1:15" s="4" customFormat="1" x14ac:dyDescent="0.3">
      <c r="A433" s="5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</row>
    <row r="434" spans="1:15" s="4" customFormat="1" x14ac:dyDescent="0.3">
      <c r="A434" s="5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</row>
    <row r="435" spans="1:15" s="4" customFormat="1" x14ac:dyDescent="0.3">
      <c r="A435" s="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</row>
    <row r="436" spans="1:15" s="4" customFormat="1" x14ac:dyDescent="0.3">
      <c r="A436" s="5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</row>
    <row r="437" spans="1:15" s="4" customFormat="1" x14ac:dyDescent="0.3">
      <c r="A437" s="5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</row>
    <row r="438" spans="1:15" s="4" customFormat="1" x14ac:dyDescent="0.3">
      <c r="A438" s="5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</row>
    <row r="439" spans="1:15" s="4" customFormat="1" x14ac:dyDescent="0.3">
      <c r="A439" s="5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</row>
    <row r="440" spans="1:15" s="4" customFormat="1" x14ac:dyDescent="0.3">
      <c r="A440" s="5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</row>
    <row r="441" spans="1:15" s="4" customFormat="1" x14ac:dyDescent="0.3">
      <c r="A441" s="5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</row>
    <row r="442" spans="1:15" s="4" customFormat="1" x14ac:dyDescent="0.3">
      <c r="A442" s="5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</row>
    <row r="443" spans="1:15" s="4" customFormat="1" x14ac:dyDescent="0.3">
      <c r="A443" s="5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</row>
    <row r="444" spans="1:15" s="4" customFormat="1" x14ac:dyDescent="0.3">
      <c r="A444" s="5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</row>
    <row r="445" spans="1:15" s="4" customFormat="1" x14ac:dyDescent="0.3">
      <c r="A445" s="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</row>
    <row r="446" spans="1:15" s="4" customFormat="1" x14ac:dyDescent="0.3">
      <c r="A446" s="5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</row>
    <row r="447" spans="1:15" s="4" customFormat="1" x14ac:dyDescent="0.3">
      <c r="A447" s="5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</row>
    <row r="448" spans="1:15" s="4" customFormat="1" x14ac:dyDescent="0.3">
      <c r="A448" s="5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</row>
    <row r="449" spans="1:15" s="4" customFormat="1" x14ac:dyDescent="0.3">
      <c r="A449" s="5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</row>
    <row r="450" spans="1:15" s="4" customFormat="1" x14ac:dyDescent="0.3">
      <c r="A450" s="5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</row>
    <row r="451" spans="1:15" s="4" customFormat="1" x14ac:dyDescent="0.3">
      <c r="A451" s="5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</row>
    <row r="452" spans="1:15" s="4" customFormat="1" x14ac:dyDescent="0.3">
      <c r="A452" s="5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</row>
    <row r="453" spans="1:15" s="4" customFormat="1" x14ac:dyDescent="0.3">
      <c r="A453" s="5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</row>
    <row r="454" spans="1:15" s="4" customFormat="1" x14ac:dyDescent="0.3">
      <c r="A454" s="5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</row>
    <row r="455" spans="1:15" s="4" customFormat="1" x14ac:dyDescent="0.3">
      <c r="A455" s="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</row>
    <row r="456" spans="1:15" s="4" customFormat="1" x14ac:dyDescent="0.3">
      <c r="A456" s="5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</row>
    <row r="457" spans="1:15" s="4" customFormat="1" x14ac:dyDescent="0.3">
      <c r="A457" s="5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</row>
    <row r="458" spans="1:15" s="4" customFormat="1" x14ac:dyDescent="0.3">
      <c r="A458" s="5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</row>
    <row r="459" spans="1:15" s="4" customFormat="1" x14ac:dyDescent="0.3">
      <c r="A459" s="5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</row>
    <row r="460" spans="1:15" s="4" customFormat="1" x14ac:dyDescent="0.3">
      <c r="A460" s="5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</row>
    <row r="461" spans="1:15" s="4" customFormat="1" x14ac:dyDescent="0.3">
      <c r="A461" s="5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</row>
    <row r="462" spans="1:15" s="4" customFormat="1" x14ac:dyDescent="0.3">
      <c r="A462" s="5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</row>
    <row r="463" spans="1:15" s="4" customFormat="1" x14ac:dyDescent="0.3">
      <c r="A463" s="5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</row>
    <row r="464" spans="1:15" s="4" customFormat="1" x14ac:dyDescent="0.3">
      <c r="A464" s="5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</row>
    <row r="465" spans="1:15" s="4" customFormat="1" x14ac:dyDescent="0.3">
      <c r="A465" s="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</row>
    <row r="466" spans="1:15" s="4" customFormat="1" x14ac:dyDescent="0.3">
      <c r="A466" s="5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</row>
    <row r="467" spans="1:15" s="4" customFormat="1" x14ac:dyDescent="0.3">
      <c r="A467" s="5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</row>
    <row r="468" spans="1:15" s="4" customFormat="1" x14ac:dyDescent="0.3">
      <c r="A468" s="5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</row>
    <row r="469" spans="1:15" s="4" customFormat="1" x14ac:dyDescent="0.3">
      <c r="A469" s="5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</row>
    <row r="470" spans="1:15" s="4" customFormat="1" x14ac:dyDescent="0.3">
      <c r="A470" s="5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</row>
    <row r="471" spans="1:15" s="4" customFormat="1" x14ac:dyDescent="0.3">
      <c r="A471" s="5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</row>
    <row r="472" spans="1:15" s="4" customFormat="1" x14ac:dyDescent="0.3">
      <c r="A472" s="5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</row>
    <row r="473" spans="1:15" s="4" customFormat="1" x14ac:dyDescent="0.3">
      <c r="A473" s="5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</row>
    <row r="474" spans="1:15" s="4" customFormat="1" x14ac:dyDescent="0.3">
      <c r="A474" s="5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</row>
    <row r="475" spans="1:15" s="4" customFormat="1" x14ac:dyDescent="0.3">
      <c r="A475" s="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</row>
    <row r="476" spans="1:15" s="4" customFormat="1" x14ac:dyDescent="0.3">
      <c r="A476" s="5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</row>
    <row r="477" spans="1:15" s="4" customFormat="1" x14ac:dyDescent="0.3">
      <c r="A477" s="5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</row>
    <row r="478" spans="1:15" s="4" customFormat="1" x14ac:dyDescent="0.3">
      <c r="A478" s="5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</row>
    <row r="479" spans="1:15" s="4" customFormat="1" x14ac:dyDescent="0.3">
      <c r="A479" s="5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</row>
    <row r="480" spans="1:15" s="4" customFormat="1" x14ac:dyDescent="0.3">
      <c r="A480" s="5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</row>
    <row r="481" spans="1:15" s="4" customFormat="1" x14ac:dyDescent="0.3">
      <c r="A481" s="5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</row>
    <row r="482" spans="1:15" s="4" customFormat="1" x14ac:dyDescent="0.3">
      <c r="A482" s="5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</row>
    <row r="483" spans="1:15" s="4" customFormat="1" x14ac:dyDescent="0.3">
      <c r="A483" s="5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</row>
    <row r="484" spans="1:15" s="4" customFormat="1" x14ac:dyDescent="0.3">
      <c r="A484" s="5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</row>
    <row r="485" spans="1:15" s="4" customFormat="1" x14ac:dyDescent="0.3">
      <c r="A485" s="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</row>
    <row r="486" spans="1:15" s="4" customFormat="1" x14ac:dyDescent="0.3">
      <c r="A486" s="5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</row>
    <row r="487" spans="1:15" s="4" customFormat="1" x14ac:dyDescent="0.3">
      <c r="A487" s="5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</row>
    <row r="488" spans="1:15" s="4" customFormat="1" x14ac:dyDescent="0.3">
      <c r="A488" s="5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</row>
    <row r="489" spans="1:15" s="4" customFormat="1" x14ac:dyDescent="0.3">
      <c r="A489" s="5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</row>
    <row r="490" spans="1:15" s="4" customFormat="1" x14ac:dyDescent="0.3">
      <c r="A490" s="5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</row>
    <row r="491" spans="1:15" s="4" customFormat="1" x14ac:dyDescent="0.3">
      <c r="A491" s="5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</row>
    <row r="492" spans="1:15" s="4" customFormat="1" x14ac:dyDescent="0.3">
      <c r="A492" s="5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</row>
    <row r="493" spans="1:15" s="4" customFormat="1" x14ac:dyDescent="0.3">
      <c r="A493" s="5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</row>
    <row r="494" spans="1:15" s="4" customFormat="1" x14ac:dyDescent="0.3">
      <c r="A494" s="5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</row>
    <row r="495" spans="1:15" s="4" customFormat="1" x14ac:dyDescent="0.3">
      <c r="A495" s="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</row>
    <row r="496" spans="1:15" s="4" customFormat="1" x14ac:dyDescent="0.3">
      <c r="A496" s="5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</row>
    <row r="497" spans="1:15" s="4" customFormat="1" x14ac:dyDescent="0.3">
      <c r="A497" s="5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</row>
    <row r="498" spans="1:15" s="4" customFormat="1" x14ac:dyDescent="0.3">
      <c r="A498" s="5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</row>
    <row r="499" spans="1:15" s="4" customFormat="1" x14ac:dyDescent="0.3">
      <c r="A499" s="5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</row>
    <row r="500" spans="1:15" s="4" customFormat="1" x14ac:dyDescent="0.3">
      <c r="A500" s="5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</row>
    <row r="501" spans="1:15" s="4" customFormat="1" x14ac:dyDescent="0.3">
      <c r="A501" s="5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</row>
    <row r="502" spans="1:15" s="4" customFormat="1" x14ac:dyDescent="0.3">
      <c r="A502" s="5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</row>
    <row r="503" spans="1:15" s="4" customFormat="1" x14ac:dyDescent="0.3">
      <c r="A503" s="5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</row>
    <row r="504" spans="1:15" s="4" customFormat="1" x14ac:dyDescent="0.3">
      <c r="A504" s="5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</row>
    <row r="505" spans="1:15" s="4" customFormat="1" x14ac:dyDescent="0.3">
      <c r="A505" s="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</row>
    <row r="506" spans="1:15" s="4" customFormat="1" x14ac:dyDescent="0.3">
      <c r="A506" s="5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</row>
    <row r="507" spans="1:15" s="4" customFormat="1" x14ac:dyDescent="0.3">
      <c r="A507" s="5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</row>
    <row r="508" spans="1:15" s="4" customFormat="1" x14ac:dyDescent="0.3">
      <c r="A508" s="5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</row>
    <row r="509" spans="1:15" s="4" customFormat="1" x14ac:dyDescent="0.3">
      <c r="A509" s="5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</row>
    <row r="510" spans="1:15" s="4" customFormat="1" x14ac:dyDescent="0.3">
      <c r="A510" s="5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</row>
    <row r="511" spans="1:15" s="4" customFormat="1" x14ac:dyDescent="0.3">
      <c r="A511" s="5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</row>
    <row r="512" spans="1:15" s="4" customFormat="1" x14ac:dyDescent="0.3">
      <c r="A512" s="5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</row>
    <row r="513" spans="1:15" s="4" customFormat="1" x14ac:dyDescent="0.3">
      <c r="A513" s="5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</row>
    <row r="514" spans="1:15" s="4" customFormat="1" x14ac:dyDescent="0.3">
      <c r="A514" s="5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</row>
    <row r="515" spans="1:15" s="4" customFormat="1" x14ac:dyDescent="0.3">
      <c r="A515" s="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</row>
    <row r="516" spans="1:15" s="4" customFormat="1" x14ac:dyDescent="0.3">
      <c r="A516" s="5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</row>
    <row r="517" spans="1:15" s="4" customFormat="1" x14ac:dyDescent="0.3">
      <c r="A517" s="5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</row>
    <row r="518" spans="1:15" s="4" customFormat="1" x14ac:dyDescent="0.3">
      <c r="A518" s="5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</row>
    <row r="519" spans="1:15" s="4" customFormat="1" x14ac:dyDescent="0.3">
      <c r="A519" s="5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</row>
    <row r="520" spans="1:15" s="4" customFormat="1" x14ac:dyDescent="0.3">
      <c r="A520" s="5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</row>
    <row r="521" spans="1:15" s="4" customFormat="1" x14ac:dyDescent="0.3">
      <c r="A521" s="5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</row>
    <row r="522" spans="1:15" s="4" customFormat="1" x14ac:dyDescent="0.3">
      <c r="A522" s="5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</row>
    <row r="523" spans="1:15" s="4" customFormat="1" x14ac:dyDescent="0.3">
      <c r="A523" s="5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</row>
    <row r="524" spans="1:15" s="4" customFormat="1" x14ac:dyDescent="0.3">
      <c r="A524" s="5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</row>
    <row r="525" spans="1:15" s="4" customFormat="1" x14ac:dyDescent="0.3">
      <c r="A525" s="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</row>
    <row r="526" spans="1:15" s="4" customFormat="1" x14ac:dyDescent="0.3">
      <c r="A526" s="5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</row>
    <row r="527" spans="1:15" s="4" customFormat="1" x14ac:dyDescent="0.3">
      <c r="A527" s="5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</row>
    <row r="528" spans="1:15" s="4" customFormat="1" x14ac:dyDescent="0.3">
      <c r="A528" s="5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</row>
    <row r="529" spans="1:15" s="4" customFormat="1" x14ac:dyDescent="0.3">
      <c r="A529" s="5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</row>
    <row r="530" spans="1:15" s="4" customFormat="1" x14ac:dyDescent="0.3">
      <c r="A530" s="5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</row>
    <row r="531" spans="1:15" s="4" customFormat="1" x14ac:dyDescent="0.3">
      <c r="A531" s="5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</row>
    <row r="532" spans="1:15" s="4" customFormat="1" x14ac:dyDescent="0.3">
      <c r="A532" s="5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</row>
    <row r="533" spans="1:15" s="4" customFormat="1" x14ac:dyDescent="0.3">
      <c r="A533" s="5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</row>
    <row r="534" spans="1:15" s="4" customFormat="1" x14ac:dyDescent="0.3">
      <c r="A534" s="5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</row>
    <row r="535" spans="1:15" s="4" customFormat="1" x14ac:dyDescent="0.3">
      <c r="A535" s="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</row>
    <row r="536" spans="1:15" s="4" customFormat="1" x14ac:dyDescent="0.3">
      <c r="A536" s="5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</row>
    <row r="537" spans="1:15" s="4" customFormat="1" x14ac:dyDescent="0.3">
      <c r="A537" s="5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</row>
    <row r="538" spans="1:15" s="4" customFormat="1" x14ac:dyDescent="0.3">
      <c r="A538" s="5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</row>
    <row r="539" spans="1:15" s="4" customFormat="1" x14ac:dyDescent="0.3">
      <c r="A539" s="5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</row>
    <row r="540" spans="1:15" s="4" customFormat="1" x14ac:dyDescent="0.3">
      <c r="A540" s="5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</row>
    <row r="541" spans="1:15" s="4" customFormat="1" x14ac:dyDescent="0.3">
      <c r="A541" s="5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</row>
    <row r="542" spans="1:15" s="4" customFormat="1" x14ac:dyDescent="0.3">
      <c r="A542" s="5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</row>
    <row r="543" spans="1:15" s="4" customFormat="1" x14ac:dyDescent="0.3">
      <c r="A543" s="5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</row>
    <row r="544" spans="1:15" s="4" customFormat="1" x14ac:dyDescent="0.3">
      <c r="A544" s="5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</row>
    <row r="545" spans="1:15" s="4" customFormat="1" x14ac:dyDescent="0.3">
      <c r="A545" s="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</row>
    <row r="546" spans="1:15" s="4" customFormat="1" x14ac:dyDescent="0.3">
      <c r="A546" s="5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</row>
    <row r="547" spans="1:15" s="4" customFormat="1" x14ac:dyDescent="0.3">
      <c r="A547" s="5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</row>
    <row r="548" spans="1:15" s="4" customFormat="1" x14ac:dyDescent="0.3">
      <c r="A548" s="5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</row>
    <row r="549" spans="1:15" s="4" customFormat="1" x14ac:dyDescent="0.3">
      <c r="A549" s="5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</row>
    <row r="550" spans="1:15" s="4" customFormat="1" x14ac:dyDescent="0.3">
      <c r="A550" s="5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</row>
    <row r="551" spans="1:15" s="4" customFormat="1" x14ac:dyDescent="0.3">
      <c r="A551" s="5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</row>
    <row r="552" spans="1:15" s="4" customFormat="1" x14ac:dyDescent="0.3">
      <c r="A552" s="5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</row>
    <row r="553" spans="1:15" s="4" customFormat="1" x14ac:dyDescent="0.3">
      <c r="A553" s="5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</row>
    <row r="554" spans="1:15" s="4" customFormat="1" x14ac:dyDescent="0.3">
      <c r="A554" s="5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</row>
    <row r="555" spans="1:15" s="4" customFormat="1" x14ac:dyDescent="0.3">
      <c r="A555" s="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</row>
    <row r="556" spans="1:15" s="4" customFormat="1" x14ac:dyDescent="0.3">
      <c r="A556" s="5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</row>
    <row r="557" spans="1:15" s="4" customFormat="1" x14ac:dyDescent="0.3">
      <c r="A557" s="5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</row>
    <row r="558" spans="1:15" s="4" customFormat="1" x14ac:dyDescent="0.3">
      <c r="A558" s="5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</row>
    <row r="559" spans="1:15" s="4" customFormat="1" x14ac:dyDescent="0.3">
      <c r="A559" s="5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</row>
    <row r="560" spans="1:15" s="4" customFormat="1" x14ac:dyDescent="0.3">
      <c r="A560" s="5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</row>
    <row r="561" spans="1:15" s="4" customFormat="1" x14ac:dyDescent="0.3">
      <c r="A561" s="5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</row>
    <row r="562" spans="1:15" s="4" customFormat="1" x14ac:dyDescent="0.3">
      <c r="A562" s="5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</row>
    <row r="563" spans="1:15" s="4" customFormat="1" x14ac:dyDescent="0.3">
      <c r="A563" s="5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</row>
    <row r="564" spans="1:15" s="4" customFormat="1" x14ac:dyDescent="0.3">
      <c r="A564" s="5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</row>
    <row r="565" spans="1:15" s="4" customFormat="1" x14ac:dyDescent="0.3">
      <c r="A565" s="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</row>
    <row r="566" spans="1:15" s="4" customFormat="1" x14ac:dyDescent="0.3">
      <c r="A566" s="5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</row>
    <row r="567" spans="1:15" s="4" customFormat="1" x14ac:dyDescent="0.3">
      <c r="A567" s="5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</row>
    <row r="568" spans="1:15" s="4" customFormat="1" x14ac:dyDescent="0.3">
      <c r="A568" s="5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</row>
    <row r="569" spans="1:15" s="4" customFormat="1" x14ac:dyDescent="0.3">
      <c r="A569" s="5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</row>
    <row r="570" spans="1:15" s="4" customFormat="1" x14ac:dyDescent="0.3">
      <c r="A570" s="5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</row>
    <row r="571" spans="1:15" s="4" customFormat="1" x14ac:dyDescent="0.3">
      <c r="A571" s="5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</row>
    <row r="572" spans="1:15" s="4" customFormat="1" x14ac:dyDescent="0.3">
      <c r="A572" s="5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</row>
    <row r="573" spans="1:15" s="4" customFormat="1" x14ac:dyDescent="0.3">
      <c r="A573" s="5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</row>
    <row r="574" spans="1:15" s="4" customFormat="1" x14ac:dyDescent="0.3">
      <c r="A574" s="5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</row>
    <row r="575" spans="1:15" s="4" customFormat="1" x14ac:dyDescent="0.3">
      <c r="A575" s="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</row>
    <row r="576" spans="1:15" s="4" customFormat="1" x14ac:dyDescent="0.3">
      <c r="A576" s="5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</row>
    <row r="577" spans="1:15" s="4" customFormat="1" x14ac:dyDescent="0.3">
      <c r="A577" s="5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</row>
    <row r="578" spans="1:15" s="4" customFormat="1" x14ac:dyDescent="0.3">
      <c r="A578" s="5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</row>
    <row r="579" spans="1:15" s="4" customFormat="1" x14ac:dyDescent="0.3">
      <c r="A579" s="5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</row>
    <row r="580" spans="1:15" s="4" customFormat="1" x14ac:dyDescent="0.3">
      <c r="A580" s="5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</row>
    <row r="581" spans="1:15" s="4" customFormat="1" x14ac:dyDescent="0.3">
      <c r="A581" s="5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</row>
    <row r="582" spans="1:15" s="4" customFormat="1" x14ac:dyDescent="0.3">
      <c r="A582" s="5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</row>
    <row r="583" spans="1:15" s="4" customFormat="1" x14ac:dyDescent="0.3">
      <c r="A583" s="5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</row>
    <row r="584" spans="1:15" s="4" customFormat="1" x14ac:dyDescent="0.3">
      <c r="A584" s="5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</row>
    <row r="585" spans="1:15" s="4" customFormat="1" x14ac:dyDescent="0.3">
      <c r="A585" s="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</row>
    <row r="586" spans="1:15" s="4" customFormat="1" x14ac:dyDescent="0.3">
      <c r="A586" s="5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</row>
    <row r="587" spans="1:15" s="4" customFormat="1" x14ac:dyDescent="0.3">
      <c r="A587" s="5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</row>
    <row r="588" spans="1:15" s="4" customFormat="1" x14ac:dyDescent="0.3">
      <c r="A588" s="5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</row>
    <row r="589" spans="1:15" s="4" customFormat="1" x14ac:dyDescent="0.3">
      <c r="A589" s="5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</row>
    <row r="590" spans="1:15" s="4" customFormat="1" x14ac:dyDescent="0.3">
      <c r="A590" s="5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</row>
    <row r="591" spans="1:15" s="4" customFormat="1" x14ac:dyDescent="0.3">
      <c r="A591" s="5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</row>
    <row r="592" spans="1:15" s="4" customFormat="1" x14ac:dyDescent="0.3">
      <c r="A592" s="5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</row>
    <row r="593" spans="1:15" s="4" customFormat="1" x14ac:dyDescent="0.3">
      <c r="A593" s="5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</row>
    <row r="594" spans="1:15" s="4" customFormat="1" x14ac:dyDescent="0.3">
      <c r="A594" s="5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</row>
    <row r="595" spans="1:15" s="4" customFormat="1" x14ac:dyDescent="0.3">
      <c r="A595" s="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</row>
    <row r="596" spans="1:15" s="4" customFormat="1" x14ac:dyDescent="0.3">
      <c r="A596" s="5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</row>
    <row r="597" spans="1:15" s="4" customFormat="1" x14ac:dyDescent="0.3">
      <c r="A597" s="5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</row>
    <row r="598" spans="1:15" s="4" customFormat="1" x14ac:dyDescent="0.3">
      <c r="A598" s="5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</row>
    <row r="599" spans="1:15" s="4" customFormat="1" x14ac:dyDescent="0.3">
      <c r="A599" s="5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</row>
    <row r="600" spans="1:15" s="4" customFormat="1" x14ac:dyDescent="0.3">
      <c r="A600" s="5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</row>
    <row r="601" spans="1:15" s="4" customFormat="1" x14ac:dyDescent="0.3">
      <c r="A601" s="5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</row>
    <row r="602" spans="1:15" s="4" customFormat="1" x14ac:dyDescent="0.3">
      <c r="A602" s="5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</row>
    <row r="603" spans="1:15" s="4" customFormat="1" x14ac:dyDescent="0.3">
      <c r="A603" s="5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</row>
    <row r="604" spans="1:15" s="4" customFormat="1" x14ac:dyDescent="0.3">
      <c r="A604" s="5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</row>
    <row r="605" spans="1:15" s="4" customFormat="1" x14ac:dyDescent="0.3">
      <c r="A605" s="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</row>
    <row r="606" spans="1:15" s="4" customFormat="1" x14ac:dyDescent="0.3">
      <c r="A606" s="5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</row>
    <row r="607" spans="1:15" s="4" customFormat="1" x14ac:dyDescent="0.3">
      <c r="A607" s="5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</row>
    <row r="608" spans="1:15" s="4" customFormat="1" x14ac:dyDescent="0.3">
      <c r="A608" s="5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</row>
    <row r="609" spans="1:15" s="4" customFormat="1" x14ac:dyDescent="0.3">
      <c r="A609" s="5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</row>
    <row r="610" spans="1:15" s="4" customFormat="1" x14ac:dyDescent="0.3">
      <c r="A610" s="5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</row>
    <row r="611" spans="1:15" s="4" customFormat="1" x14ac:dyDescent="0.3">
      <c r="A611" s="5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</row>
    <row r="612" spans="1:15" s="4" customFormat="1" x14ac:dyDescent="0.3">
      <c r="A612" s="5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</row>
    <row r="613" spans="1:15" s="4" customFormat="1" x14ac:dyDescent="0.3">
      <c r="A613" s="5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</row>
    <row r="614" spans="1:15" s="4" customFormat="1" x14ac:dyDescent="0.3">
      <c r="A614" s="5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</row>
    <row r="615" spans="1:15" s="4" customFormat="1" x14ac:dyDescent="0.3">
      <c r="A615" s="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</row>
    <row r="616" spans="1:15" s="4" customFormat="1" x14ac:dyDescent="0.3">
      <c r="A616" s="5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</row>
    <row r="617" spans="1:15" s="4" customFormat="1" x14ac:dyDescent="0.3">
      <c r="A617" s="5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</row>
    <row r="618" spans="1:15" s="4" customFormat="1" x14ac:dyDescent="0.3">
      <c r="A618" s="5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</row>
    <row r="619" spans="1:15" s="4" customFormat="1" x14ac:dyDescent="0.3">
      <c r="A619" s="5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</row>
    <row r="620" spans="1:15" s="4" customFormat="1" x14ac:dyDescent="0.3">
      <c r="A620" s="5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</row>
    <row r="621" spans="1:15" s="4" customFormat="1" x14ac:dyDescent="0.3">
      <c r="A621" s="5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</row>
    <row r="622" spans="1:15" s="4" customFormat="1" x14ac:dyDescent="0.3">
      <c r="A622" s="5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</row>
    <row r="623" spans="1:15" s="4" customFormat="1" x14ac:dyDescent="0.3">
      <c r="A623" s="5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</row>
    <row r="624" spans="1:15" s="4" customFormat="1" x14ac:dyDescent="0.3">
      <c r="A624" s="5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</row>
    <row r="625" spans="1:15" s="4" customFormat="1" x14ac:dyDescent="0.3">
      <c r="A625" s="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</row>
    <row r="626" spans="1:15" s="4" customFormat="1" x14ac:dyDescent="0.3">
      <c r="A626" s="5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</row>
    <row r="627" spans="1:15" s="4" customFormat="1" x14ac:dyDescent="0.3">
      <c r="A627" s="5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</row>
    <row r="628" spans="1:15" s="4" customFormat="1" x14ac:dyDescent="0.3">
      <c r="A628" s="5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</row>
    <row r="629" spans="1:15" s="4" customFormat="1" x14ac:dyDescent="0.3">
      <c r="A629" s="5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51"/>
  <sheetViews>
    <sheetView tabSelected="1" topLeftCell="A135" zoomScale="110" zoomScaleNormal="110" workbookViewId="0">
      <selection activeCell="N141" sqref="N141"/>
    </sheetView>
  </sheetViews>
  <sheetFormatPr baseColWidth="10" defaultRowHeight="14.4" x14ac:dyDescent="0.3"/>
  <cols>
    <col min="1" max="1" width="11.5546875" style="5"/>
    <col min="2" max="2" width="12.44140625" customWidth="1"/>
    <col min="3" max="3" width="12.44140625" bestFit="1" customWidth="1"/>
    <col min="6" max="6" width="17.109375" bestFit="1" customWidth="1"/>
    <col min="9" max="9" width="11.6640625" bestFit="1" customWidth="1"/>
    <col min="10" max="10" width="9.44140625" bestFit="1" customWidth="1"/>
    <col min="11" max="11" width="10.88671875" style="5" bestFit="1" customWidth="1"/>
    <col min="12" max="12" width="10.88671875" bestFit="1" customWidth="1"/>
    <col min="13" max="13" width="16.33203125" bestFit="1" customWidth="1"/>
    <col min="14" max="14" width="11.33203125" customWidth="1"/>
    <col min="15" max="15" width="11.33203125" bestFit="1" customWidth="1"/>
    <col min="16" max="16" width="28.33203125" bestFit="1" customWidth="1"/>
  </cols>
  <sheetData>
    <row r="1" spans="1:17" x14ac:dyDescent="0.3">
      <c r="A1" s="19"/>
      <c r="D1" s="2"/>
      <c r="E1" s="2"/>
      <c r="F1" s="2"/>
      <c r="G1" s="2"/>
      <c r="H1" s="2"/>
      <c r="I1" s="2"/>
      <c r="J1" s="4"/>
      <c r="K1" s="6"/>
    </row>
    <row r="2" spans="1:17" x14ac:dyDescent="0.3">
      <c r="A2" s="19"/>
      <c r="D2" s="2"/>
      <c r="E2" s="2"/>
      <c r="F2" s="2"/>
      <c r="G2" s="2"/>
      <c r="H2" s="2"/>
      <c r="I2" s="2"/>
      <c r="J2" s="4"/>
      <c r="K2" s="6"/>
    </row>
    <row r="3" spans="1:17" x14ac:dyDescent="0.3">
      <c r="A3" s="19"/>
      <c r="D3" s="2"/>
      <c r="E3" s="2"/>
      <c r="F3" s="2"/>
      <c r="G3" s="2"/>
      <c r="H3" s="2"/>
      <c r="I3" s="2"/>
      <c r="J3" s="4"/>
      <c r="K3" s="6"/>
      <c r="L3" s="4"/>
    </row>
    <row r="4" spans="1:17" x14ac:dyDescent="0.3">
      <c r="A4" s="19"/>
      <c r="D4" s="2"/>
      <c r="E4" s="2"/>
      <c r="F4" s="2"/>
      <c r="G4" s="2"/>
      <c r="H4" s="2"/>
      <c r="I4" s="2"/>
      <c r="J4" s="4"/>
      <c r="K4" s="6"/>
    </row>
    <row r="5" spans="1:17" x14ac:dyDescent="0.3">
      <c r="A5" s="19"/>
      <c r="D5" s="2"/>
      <c r="E5" s="2"/>
      <c r="F5" s="2"/>
      <c r="G5" s="2"/>
      <c r="H5" s="2"/>
      <c r="I5" s="2"/>
      <c r="J5" s="4"/>
      <c r="K5" s="6"/>
    </row>
    <row r="6" spans="1:17" x14ac:dyDescent="0.3">
      <c r="A6" s="19"/>
      <c r="C6" s="10"/>
      <c r="D6" s="10" t="s">
        <v>7</v>
      </c>
      <c r="E6" s="10" t="s">
        <v>2</v>
      </c>
      <c r="F6" s="10" t="s">
        <v>2</v>
      </c>
      <c r="G6" s="2"/>
      <c r="H6" s="2"/>
      <c r="I6" s="2"/>
      <c r="J6" s="10" t="s">
        <v>10</v>
      </c>
      <c r="K6" s="10" t="s">
        <v>12</v>
      </c>
      <c r="L6" s="10" t="s">
        <v>13</v>
      </c>
      <c r="M6" s="10" t="s">
        <v>17</v>
      </c>
    </row>
    <row r="7" spans="1:17" x14ac:dyDescent="0.3">
      <c r="A7" s="19"/>
      <c r="B7" s="10" t="s">
        <v>5</v>
      </c>
      <c r="C7" s="10"/>
      <c r="D7" s="10" t="s">
        <v>4</v>
      </c>
      <c r="E7" s="10" t="s">
        <v>4</v>
      </c>
      <c r="F7" s="10" t="s">
        <v>4</v>
      </c>
      <c r="G7" s="10" t="s">
        <v>1</v>
      </c>
      <c r="H7" s="10"/>
      <c r="I7" s="2"/>
      <c r="J7" s="10" t="s">
        <v>1</v>
      </c>
      <c r="K7" s="10" t="s">
        <v>16</v>
      </c>
      <c r="L7" s="10" t="s">
        <v>15</v>
      </c>
      <c r="M7" s="10" t="s">
        <v>18</v>
      </c>
      <c r="O7" s="2"/>
    </row>
    <row r="8" spans="1:17" x14ac:dyDescent="0.3">
      <c r="A8" s="19"/>
      <c r="B8" s="9" t="s">
        <v>6</v>
      </c>
      <c r="C8" s="10" t="s">
        <v>8</v>
      </c>
      <c r="D8" s="9" t="s">
        <v>3</v>
      </c>
      <c r="E8" s="9" t="s">
        <v>19</v>
      </c>
      <c r="F8" s="9" t="s">
        <v>20</v>
      </c>
      <c r="G8" s="9" t="s">
        <v>11</v>
      </c>
      <c r="H8" s="9" t="s">
        <v>9</v>
      </c>
      <c r="I8" s="8" t="s">
        <v>0</v>
      </c>
      <c r="J8" s="9" t="s">
        <v>11</v>
      </c>
      <c r="K8" s="21">
        <v>0.16</v>
      </c>
      <c r="L8" s="21">
        <v>0.16</v>
      </c>
      <c r="M8" s="21">
        <v>0.03</v>
      </c>
      <c r="O8" s="2"/>
    </row>
    <row r="9" spans="1:17" s="5" customFormat="1" x14ac:dyDescent="0.3">
      <c r="A9" s="19"/>
      <c r="B9" s="18">
        <v>45946</v>
      </c>
      <c r="C9" s="16">
        <f>+G9/H9</f>
        <v>162443.28508446264</v>
      </c>
      <c r="D9" s="13">
        <v>160000</v>
      </c>
      <c r="E9" s="13"/>
      <c r="F9" s="13"/>
      <c r="G9" s="13">
        <f>+D9+F9</f>
        <v>160000</v>
      </c>
      <c r="H9" s="14">
        <v>0.98495915000000001</v>
      </c>
      <c r="I9" s="15">
        <v>201.4665</v>
      </c>
      <c r="J9" s="13">
        <f t="shared" ref="J9:J30" si="0">+G9/I9</f>
        <v>794.17669935200149</v>
      </c>
      <c r="K9" s="14"/>
      <c r="L9" s="13"/>
      <c r="M9" s="7"/>
      <c r="N9" s="7"/>
      <c r="O9" s="7"/>
      <c r="P9" s="7"/>
      <c r="Q9" s="7"/>
    </row>
    <row r="10" spans="1:17" x14ac:dyDescent="0.3">
      <c r="B10" s="11">
        <v>45947</v>
      </c>
      <c r="C10" s="3">
        <v>162443.29</v>
      </c>
      <c r="D10" s="2">
        <v>160000</v>
      </c>
      <c r="E10" s="2">
        <f>+F10-F9</f>
        <v>1807.1490579076344</v>
      </c>
      <c r="F10" s="2">
        <f>+C9*H10-$D$9</f>
        <v>1807.1490579076344</v>
      </c>
      <c r="G10" s="2">
        <f>+$D$9+F10</f>
        <v>161807.14905790763</v>
      </c>
      <c r="H10">
        <v>0.99608395000000005</v>
      </c>
      <c r="I10" s="3">
        <v>203.74199999999999</v>
      </c>
      <c r="J10" s="2">
        <f t="shared" si="0"/>
        <v>794.17669924663369</v>
      </c>
      <c r="K10" s="7">
        <f>+D10*$K$8/360</f>
        <v>71.111111111111114</v>
      </c>
      <c r="L10" s="2">
        <f>+F10*$L$8/360</f>
        <v>0.80317735907005972</v>
      </c>
      <c r="M10" s="2"/>
      <c r="N10" s="2"/>
      <c r="O10" s="2"/>
      <c r="P10" s="2"/>
      <c r="Q10" s="2"/>
    </row>
    <row r="11" spans="1:17" x14ac:dyDescent="0.3">
      <c r="B11" s="11">
        <v>45950</v>
      </c>
      <c r="C11" s="3">
        <v>162443.29</v>
      </c>
      <c r="D11" s="2">
        <v>160000</v>
      </c>
      <c r="E11" s="2">
        <f t="shared" ref="E11:E84" si="1">+F11-F10</f>
        <v>1535.465981921996</v>
      </c>
      <c r="F11" s="2">
        <f t="shared" ref="F11:F30" si="2">+C10*H11-$D$9</f>
        <v>3342.6150398296304</v>
      </c>
      <c r="G11" s="2">
        <f t="shared" ref="G11:G30" si="3">+$D$9+F11</f>
        <v>163342.61503982963</v>
      </c>
      <c r="H11">
        <v>1.0055362400000001</v>
      </c>
      <c r="I11" s="3">
        <v>205.6754</v>
      </c>
      <c r="J11" s="2">
        <f t="shared" si="0"/>
        <v>794.17672234904921</v>
      </c>
      <c r="K11" s="7">
        <f t="shared" ref="K11:K30" si="4">+D11*$K$8/360</f>
        <v>71.111111111111114</v>
      </c>
      <c r="L11" s="2">
        <f t="shared" ref="L11:L30" si="5">+F11*$L$8/360</f>
        <v>1.4856066843687248</v>
      </c>
      <c r="M11" s="2"/>
      <c r="N11" s="2"/>
      <c r="O11" s="2"/>
      <c r="P11" s="2"/>
      <c r="Q11" s="2"/>
    </row>
    <row r="12" spans="1:17" x14ac:dyDescent="0.3">
      <c r="B12" s="11">
        <v>45951</v>
      </c>
      <c r="C12" s="3">
        <v>162443.29</v>
      </c>
      <c r="D12" s="2">
        <v>160000</v>
      </c>
      <c r="E12" s="2">
        <f t="shared" si="1"/>
        <v>1761.8030681884557</v>
      </c>
      <c r="F12" s="2">
        <f t="shared" si="2"/>
        <v>5104.4181080180861</v>
      </c>
      <c r="G12" s="2">
        <f t="shared" si="3"/>
        <v>165104.41810801809</v>
      </c>
      <c r="H12">
        <v>1.0163818899999999</v>
      </c>
      <c r="I12" s="3">
        <v>207.8938</v>
      </c>
      <c r="J12" s="2">
        <f t="shared" si="0"/>
        <v>794.1767292147149</v>
      </c>
      <c r="K12" s="7">
        <f t="shared" si="4"/>
        <v>71.111111111111114</v>
      </c>
      <c r="L12" s="2">
        <f t="shared" si="5"/>
        <v>2.2686302702302608</v>
      </c>
      <c r="M12" s="2"/>
      <c r="N12" s="2"/>
      <c r="O12" s="2"/>
      <c r="P12" s="2"/>
      <c r="Q12" s="2"/>
    </row>
    <row r="13" spans="1:17" x14ac:dyDescent="0.3">
      <c r="A13" s="7"/>
      <c r="B13" s="11">
        <v>45952</v>
      </c>
      <c r="C13" s="3">
        <v>162443.29</v>
      </c>
      <c r="D13" s="2">
        <v>160000</v>
      </c>
      <c r="E13" s="2">
        <f t="shared" si="1"/>
        <v>1897.0484781438136</v>
      </c>
      <c r="F13" s="2">
        <f t="shared" si="2"/>
        <v>7001.4665861618996</v>
      </c>
      <c r="G13" s="2">
        <f t="shared" si="3"/>
        <v>167001.4665861619</v>
      </c>
      <c r="H13">
        <v>1.02806011</v>
      </c>
      <c r="I13" s="3">
        <v>210.2825</v>
      </c>
      <c r="J13" s="2">
        <f t="shared" si="0"/>
        <v>794.17672220066765</v>
      </c>
      <c r="K13" s="7">
        <f t="shared" si="4"/>
        <v>71.111111111111114</v>
      </c>
      <c r="L13" s="2">
        <f t="shared" si="5"/>
        <v>3.1117629271830665</v>
      </c>
      <c r="M13" s="2"/>
      <c r="N13" s="2"/>
      <c r="O13" s="2"/>
      <c r="P13" s="2"/>
      <c r="Q13" s="2"/>
    </row>
    <row r="14" spans="1:17" x14ac:dyDescent="0.3">
      <c r="A14" s="7"/>
      <c r="B14" s="11">
        <v>45953</v>
      </c>
      <c r="C14" s="3">
        <v>162443.29</v>
      </c>
      <c r="D14" s="2">
        <v>160000</v>
      </c>
      <c r="E14" s="2">
        <f t="shared" si="1"/>
        <v>1748.1432119323872</v>
      </c>
      <c r="F14" s="2">
        <f t="shared" si="2"/>
        <v>8749.6097980942868</v>
      </c>
      <c r="G14" s="2">
        <f t="shared" si="3"/>
        <v>168749.60979809429</v>
      </c>
      <c r="H14">
        <v>1.0388216699999999</v>
      </c>
      <c r="I14" s="3">
        <v>212.4837</v>
      </c>
      <c r="J14" s="2">
        <f t="shared" si="0"/>
        <v>794.17672884129126</v>
      </c>
      <c r="K14" s="7">
        <f t="shared" si="4"/>
        <v>71.111111111111114</v>
      </c>
      <c r="L14" s="2">
        <f t="shared" si="5"/>
        <v>3.8887154658196827</v>
      </c>
      <c r="M14" s="2"/>
      <c r="N14" s="2"/>
      <c r="O14" s="2"/>
      <c r="P14" s="2"/>
      <c r="Q14" s="2"/>
    </row>
    <row r="15" spans="1:17" x14ac:dyDescent="0.3">
      <c r="A15" s="7"/>
      <c r="B15" s="11">
        <v>45954</v>
      </c>
      <c r="C15" s="3">
        <v>162443.29</v>
      </c>
      <c r="D15" s="2">
        <v>160000</v>
      </c>
      <c r="E15" s="2">
        <f t="shared" si="1"/>
        <v>1536.9701837982284</v>
      </c>
      <c r="F15" s="2">
        <f t="shared" si="2"/>
        <v>10286.579981892515</v>
      </c>
      <c r="G15" s="2">
        <f t="shared" si="3"/>
        <v>170286.57998189252</v>
      </c>
      <c r="H15">
        <v>1.0482832500000001</v>
      </c>
      <c r="I15" s="3">
        <v>214.41900000000001</v>
      </c>
      <c r="J15" s="2">
        <f t="shared" si="0"/>
        <v>794.17672865694044</v>
      </c>
      <c r="K15" s="7">
        <f t="shared" si="4"/>
        <v>71.111111111111114</v>
      </c>
      <c r="L15" s="2">
        <f t="shared" si="5"/>
        <v>4.5718133252855626</v>
      </c>
      <c r="N15" s="2"/>
      <c r="O15" s="2"/>
      <c r="Q15" s="2"/>
    </row>
    <row r="16" spans="1:17" x14ac:dyDescent="0.3">
      <c r="A16" s="7"/>
      <c r="B16" s="11">
        <v>45957</v>
      </c>
      <c r="C16" s="3">
        <v>162443.29</v>
      </c>
      <c r="D16" s="2">
        <v>160000</v>
      </c>
      <c r="E16" s="2">
        <f t="shared" si="1"/>
        <v>1550.5504428422137</v>
      </c>
      <c r="F16" s="2">
        <f t="shared" si="2"/>
        <v>11837.130424734729</v>
      </c>
      <c r="G16" s="2">
        <f t="shared" si="3"/>
        <v>171837.13042473473</v>
      </c>
      <c r="H16">
        <v>1.05782843</v>
      </c>
      <c r="I16" s="3">
        <v>216.37139999999999</v>
      </c>
      <c r="J16" s="2">
        <f t="shared" si="0"/>
        <v>794.17672772249352</v>
      </c>
      <c r="K16" s="7">
        <f t="shared" si="4"/>
        <v>71.111111111111114</v>
      </c>
      <c r="L16" s="2">
        <f t="shared" si="5"/>
        <v>5.2609468554376573</v>
      </c>
      <c r="N16" s="2">
        <f>+K32</f>
        <v>2133.3333333333335</v>
      </c>
      <c r="O16" s="2"/>
      <c r="Q16" s="2"/>
    </row>
    <row r="17" spans="1:17" x14ac:dyDescent="0.3">
      <c r="A17" s="7"/>
      <c r="B17" s="11">
        <v>45958</v>
      </c>
      <c r="C17" s="3">
        <v>162443.29</v>
      </c>
      <c r="D17" s="2">
        <v>160000</v>
      </c>
      <c r="E17" s="2">
        <f t="shared" si="1"/>
        <v>1428.4060842253966</v>
      </c>
      <c r="F17" s="2">
        <f t="shared" si="2"/>
        <v>13265.536508960126</v>
      </c>
      <c r="G17" s="2">
        <f t="shared" si="3"/>
        <v>173265.53650896013</v>
      </c>
      <c r="H17">
        <v>1.0666216900000001</v>
      </c>
      <c r="I17" s="3">
        <v>218.17</v>
      </c>
      <c r="J17" s="2">
        <f t="shared" si="0"/>
        <v>794.17672690544134</v>
      </c>
      <c r="K17" s="7">
        <f t="shared" si="4"/>
        <v>71.111111111111114</v>
      </c>
      <c r="L17" s="2">
        <f t="shared" si="5"/>
        <v>5.895794003982278</v>
      </c>
      <c r="N17" s="2">
        <f>+L32</f>
        <v>353.72639307920667</v>
      </c>
      <c r="O17" s="2"/>
      <c r="Q17" s="2"/>
    </row>
    <row r="18" spans="1:17" x14ac:dyDescent="0.3">
      <c r="A18" s="7"/>
      <c r="B18" s="11">
        <v>45959</v>
      </c>
      <c r="C18" s="3">
        <v>162443.29</v>
      </c>
      <c r="D18" s="2">
        <v>160000</v>
      </c>
      <c r="E18" s="2">
        <f t="shared" si="1"/>
        <v>1353.0388953969814</v>
      </c>
      <c r="F18" s="2">
        <f t="shared" si="2"/>
        <v>14618.575404357107</v>
      </c>
      <c r="G18" s="2">
        <f t="shared" si="3"/>
        <v>174618.57540435711</v>
      </c>
      <c r="H18" s="5">
        <v>1.0749509900000001</v>
      </c>
      <c r="I18" s="19">
        <v>219.87370000000001</v>
      </c>
      <c r="J18" s="2">
        <f t="shared" si="0"/>
        <v>794.17672693167526</v>
      </c>
      <c r="K18" s="7">
        <f t="shared" si="4"/>
        <v>71.111111111111114</v>
      </c>
      <c r="L18" s="2">
        <f t="shared" si="5"/>
        <v>6.4971446241587145</v>
      </c>
      <c r="N18" s="2">
        <f>SUM(N16:N17)</f>
        <v>2487.0597264125399</v>
      </c>
      <c r="O18" s="2"/>
      <c r="Q18" s="2"/>
    </row>
    <row r="19" spans="1:17" x14ac:dyDescent="0.3">
      <c r="A19" s="7"/>
      <c r="B19" s="11">
        <v>45960</v>
      </c>
      <c r="C19" s="3">
        <v>162443.29</v>
      </c>
      <c r="D19" s="2">
        <v>160000</v>
      </c>
      <c r="E19" s="2">
        <f t="shared" si="1"/>
        <v>1485.1897606777784</v>
      </c>
      <c r="F19" s="2">
        <f t="shared" si="2"/>
        <v>16103.765165034885</v>
      </c>
      <c r="G19" s="2">
        <f t="shared" si="3"/>
        <v>176103.76516503489</v>
      </c>
      <c r="H19">
        <v>1.0840938099999999</v>
      </c>
      <c r="I19" s="3">
        <v>221.74379999999999</v>
      </c>
      <c r="J19" s="2">
        <f t="shared" si="0"/>
        <v>794.17672631674429</v>
      </c>
      <c r="K19" s="7">
        <f t="shared" si="4"/>
        <v>71.111111111111114</v>
      </c>
      <c r="L19" s="2">
        <f t="shared" si="5"/>
        <v>7.1572289622377276</v>
      </c>
      <c r="N19" s="2"/>
      <c r="O19" s="2"/>
      <c r="Q19" s="2"/>
    </row>
    <row r="20" spans="1:17" x14ac:dyDescent="0.3">
      <c r="A20" s="7"/>
      <c r="B20" s="11">
        <v>45961</v>
      </c>
      <c r="C20" s="3">
        <v>162443.29</v>
      </c>
      <c r="D20" s="2">
        <v>160000</v>
      </c>
      <c r="E20" s="2">
        <f t="shared" si="1"/>
        <v>1510.6040133983188</v>
      </c>
      <c r="F20" s="2">
        <f t="shared" si="2"/>
        <v>17614.369178433204</v>
      </c>
      <c r="G20" s="2">
        <f t="shared" si="3"/>
        <v>177614.3691784332</v>
      </c>
      <c r="H20">
        <v>1.09339308</v>
      </c>
      <c r="I20" s="3">
        <v>223.64590000000001</v>
      </c>
      <c r="J20" s="2">
        <f t="shared" si="0"/>
        <v>794.17672838372266</v>
      </c>
      <c r="K20" s="7">
        <f t="shared" si="4"/>
        <v>71.111111111111114</v>
      </c>
      <c r="L20" s="2">
        <f t="shared" si="5"/>
        <v>7.8286085237480911</v>
      </c>
      <c r="N20" s="2">
        <f>+J9/12</f>
        <v>66.181391612666786</v>
      </c>
      <c r="O20" s="2"/>
      <c r="Q20" s="2"/>
    </row>
    <row r="21" spans="1:17" x14ac:dyDescent="0.3">
      <c r="A21" s="7"/>
      <c r="B21" s="11">
        <v>45964</v>
      </c>
      <c r="C21" s="3">
        <v>162443.29</v>
      </c>
      <c r="D21" s="2">
        <v>160000</v>
      </c>
      <c r="E21" s="2">
        <f t="shared" si="1"/>
        <v>251.19743035730789</v>
      </c>
      <c r="F21" s="2">
        <f t="shared" si="2"/>
        <v>17865.566608790512</v>
      </c>
      <c r="G21" s="2">
        <f t="shared" si="3"/>
        <v>177865.56660879051</v>
      </c>
      <c r="H21">
        <v>1.09493945</v>
      </c>
      <c r="I21" s="3">
        <v>223.9622</v>
      </c>
      <c r="J21" s="2">
        <f t="shared" si="0"/>
        <v>794.1767253973685</v>
      </c>
      <c r="K21" s="7">
        <f t="shared" si="4"/>
        <v>71.111111111111114</v>
      </c>
      <c r="L21" s="2">
        <f t="shared" si="5"/>
        <v>7.9402518261291171</v>
      </c>
      <c r="N21" s="2"/>
      <c r="O21" s="2"/>
      <c r="Q21" s="2"/>
    </row>
    <row r="22" spans="1:17" x14ac:dyDescent="0.3">
      <c r="A22" s="7"/>
      <c r="B22" s="11">
        <v>45965</v>
      </c>
      <c r="C22" s="3">
        <v>162443.29</v>
      </c>
      <c r="D22" s="2">
        <v>160000</v>
      </c>
      <c r="E22" s="2">
        <f t="shared" si="1"/>
        <v>328.78846782579785</v>
      </c>
      <c r="F22" s="2">
        <f t="shared" si="2"/>
        <v>18194.35507661631</v>
      </c>
      <c r="G22" s="2">
        <f t="shared" si="3"/>
        <v>178194.35507661631</v>
      </c>
      <c r="H22">
        <v>1.0969634699999999</v>
      </c>
      <c r="I22" s="3">
        <v>224.37620000000001</v>
      </c>
      <c r="J22" s="2">
        <f t="shared" si="0"/>
        <v>794.17672229325706</v>
      </c>
      <c r="K22" s="7">
        <f t="shared" si="4"/>
        <v>71.111111111111114</v>
      </c>
      <c r="L22" s="2">
        <f t="shared" si="5"/>
        <v>8.0863800340516931</v>
      </c>
      <c r="N22" s="2"/>
      <c r="O22" s="2"/>
      <c r="Q22" s="2"/>
    </row>
    <row r="23" spans="1:17" x14ac:dyDescent="0.3">
      <c r="A23" s="7"/>
      <c r="B23" s="11">
        <v>45966</v>
      </c>
      <c r="C23" s="3">
        <v>162443.29</v>
      </c>
      <c r="D23" s="2">
        <v>160000</v>
      </c>
      <c r="E23" s="2">
        <f t="shared" si="1"/>
        <v>1393.2257409101294</v>
      </c>
      <c r="F23" s="2">
        <f t="shared" si="2"/>
        <v>19587.580817526439</v>
      </c>
      <c r="G23" s="2">
        <f t="shared" si="3"/>
        <v>179587.58081752644</v>
      </c>
      <c r="H23">
        <v>1.1055401600000001</v>
      </c>
      <c r="I23" s="3">
        <v>226.13050000000001</v>
      </c>
      <c r="J23" s="2">
        <f t="shared" si="0"/>
        <v>794.17672900173318</v>
      </c>
      <c r="K23" s="7">
        <f t="shared" si="4"/>
        <v>71.111111111111114</v>
      </c>
      <c r="L23" s="2">
        <f t="shared" si="5"/>
        <v>8.7055914744561953</v>
      </c>
      <c r="N23" s="2"/>
      <c r="O23" s="2">
        <v>2133.33</v>
      </c>
      <c r="P23" t="s">
        <v>23</v>
      </c>
      <c r="Q23" s="2"/>
    </row>
    <row r="24" spans="1:17" x14ac:dyDescent="0.3">
      <c r="A24" s="7"/>
      <c r="B24" s="11">
        <v>45967</v>
      </c>
      <c r="C24" s="3">
        <v>162443.29</v>
      </c>
      <c r="D24" s="2">
        <v>160000</v>
      </c>
      <c r="E24" s="2">
        <f t="shared" si="1"/>
        <v>1132.6537082868454</v>
      </c>
      <c r="F24" s="2">
        <f t="shared" si="2"/>
        <v>20720.234525813285</v>
      </c>
      <c r="G24" s="2">
        <f t="shared" si="3"/>
        <v>180720.23452581328</v>
      </c>
      <c r="H24">
        <v>1.1125127699999999</v>
      </c>
      <c r="I24" s="3">
        <v>227.55670000000001</v>
      </c>
      <c r="J24" s="2">
        <f t="shared" si="0"/>
        <v>794.17672398049922</v>
      </c>
      <c r="K24" s="7">
        <f t="shared" si="4"/>
        <v>71.111111111111114</v>
      </c>
      <c r="L24" s="2">
        <f t="shared" si="5"/>
        <v>9.2089931225836814</v>
      </c>
      <c r="N24" s="2"/>
      <c r="O24" s="2">
        <v>12383.61</v>
      </c>
      <c r="P24" t="s">
        <v>24</v>
      </c>
      <c r="Q24" s="2"/>
    </row>
    <row r="25" spans="1:17" x14ac:dyDescent="0.3">
      <c r="A25" s="7"/>
      <c r="B25" s="11">
        <v>45968</v>
      </c>
      <c r="C25" s="3">
        <v>162443.29</v>
      </c>
      <c r="D25" s="2">
        <v>160000</v>
      </c>
      <c r="E25" s="2">
        <f t="shared" si="1"/>
        <v>732.94574891292723</v>
      </c>
      <c r="F25" s="2">
        <f t="shared" si="2"/>
        <v>21453.180274726212</v>
      </c>
      <c r="G25" s="2">
        <f t="shared" si="3"/>
        <v>181453.18027472621</v>
      </c>
      <c r="H25">
        <v>1.1170247799999999</v>
      </c>
      <c r="I25" s="3">
        <v>228.4796</v>
      </c>
      <c r="J25" s="2">
        <f t="shared" si="0"/>
        <v>794.1767242008749</v>
      </c>
      <c r="K25" s="7">
        <f t="shared" si="4"/>
        <v>71.111111111111114</v>
      </c>
      <c r="L25" s="2">
        <f t="shared" si="5"/>
        <v>9.5347467887672064</v>
      </c>
      <c r="N25" s="2"/>
      <c r="O25" s="2">
        <v>0.96</v>
      </c>
      <c r="P25" t="s">
        <v>14</v>
      </c>
    </row>
    <row r="26" spans="1:17" x14ac:dyDescent="0.3">
      <c r="A26" s="7"/>
      <c r="B26" s="11">
        <v>45971</v>
      </c>
      <c r="C26" s="3">
        <v>162443.29</v>
      </c>
      <c r="D26" s="2">
        <v>160000</v>
      </c>
      <c r="E26" s="2">
        <f t="shared" si="1"/>
        <v>2038.3335296212754</v>
      </c>
      <c r="F26" s="2">
        <f t="shared" si="2"/>
        <v>23491.513804347487</v>
      </c>
      <c r="G26" s="2">
        <f t="shared" si="3"/>
        <v>183491.51380434749</v>
      </c>
      <c r="H26">
        <v>1.1295727499999999</v>
      </c>
      <c r="I26" s="3">
        <v>231.0462</v>
      </c>
      <c r="J26" s="2">
        <f t="shared" si="0"/>
        <v>794.1767222501278</v>
      </c>
      <c r="K26" s="7">
        <f t="shared" si="4"/>
        <v>71.111111111111114</v>
      </c>
      <c r="L26" s="2">
        <f t="shared" si="5"/>
        <v>10.440672801932218</v>
      </c>
      <c r="N26" s="2"/>
      <c r="O26" s="2">
        <v>19.260000000000002</v>
      </c>
    </row>
    <row r="27" spans="1:17" x14ac:dyDescent="0.3">
      <c r="A27" s="7"/>
      <c r="B27" s="11">
        <v>45972</v>
      </c>
      <c r="C27" s="3">
        <v>162443.29</v>
      </c>
      <c r="D27" s="2">
        <v>160000</v>
      </c>
      <c r="E27" s="2">
        <f t="shared" si="1"/>
        <v>37.803802448819624</v>
      </c>
      <c r="F27" s="2">
        <f t="shared" si="2"/>
        <v>23529.317606796307</v>
      </c>
      <c r="G27" s="2">
        <f t="shared" si="3"/>
        <v>183529.31760679631</v>
      </c>
      <c r="H27">
        <v>1.12980547</v>
      </c>
      <c r="I27" s="3">
        <v>231.09379999999999</v>
      </c>
      <c r="J27" s="2">
        <f t="shared" si="0"/>
        <v>794.17672653613522</v>
      </c>
      <c r="K27" s="7">
        <f t="shared" si="4"/>
        <v>71.111111111111114</v>
      </c>
      <c r="L27" s="2">
        <f t="shared" si="5"/>
        <v>10.457474491909469</v>
      </c>
      <c r="N27" s="2"/>
      <c r="O27" s="2">
        <v>2053.31</v>
      </c>
      <c r="P27" t="s">
        <v>25</v>
      </c>
    </row>
    <row r="28" spans="1:17" x14ac:dyDescent="0.3">
      <c r="A28" s="7"/>
      <c r="B28" s="11">
        <v>45973</v>
      </c>
      <c r="C28" s="3">
        <v>162443.29</v>
      </c>
      <c r="D28" s="2">
        <v>160000</v>
      </c>
      <c r="E28" s="2">
        <f t="shared" si="1"/>
        <v>1550.2320539938228</v>
      </c>
      <c r="F28" s="2">
        <f t="shared" si="2"/>
        <v>25079.54966079013</v>
      </c>
      <c r="G28" s="2">
        <f t="shared" si="3"/>
        <v>185079.54966079013</v>
      </c>
      <c r="H28">
        <v>1.1393486900000001</v>
      </c>
      <c r="I28" s="3">
        <v>233.04580000000001</v>
      </c>
      <c r="J28" s="2">
        <f t="shared" si="0"/>
        <v>794.17672260469885</v>
      </c>
      <c r="K28" s="7">
        <f t="shared" si="4"/>
        <v>71.111111111111114</v>
      </c>
      <c r="L28" s="2">
        <f t="shared" si="5"/>
        <v>11.146466515906724</v>
      </c>
      <c r="N28" s="2"/>
      <c r="O28" s="2">
        <v>11.8</v>
      </c>
      <c r="P28" t="s">
        <v>17</v>
      </c>
    </row>
    <row r="29" spans="1:17" x14ac:dyDescent="0.3">
      <c r="A29" s="7"/>
      <c r="B29" s="11">
        <v>45974</v>
      </c>
      <c r="C29" s="3">
        <v>162443.29</v>
      </c>
      <c r="D29" s="2">
        <v>160000</v>
      </c>
      <c r="E29" s="2">
        <f t="shared" si="1"/>
        <v>406.46072693925817</v>
      </c>
      <c r="F29" s="2">
        <f t="shared" si="2"/>
        <v>25486.010387729388</v>
      </c>
      <c r="G29" s="2">
        <f t="shared" si="3"/>
        <v>185486.01038772939</v>
      </c>
      <c r="H29">
        <v>1.1418508599999999</v>
      </c>
      <c r="I29" s="3">
        <v>233.55760000000001</v>
      </c>
      <c r="J29" s="2">
        <f t="shared" si="0"/>
        <v>794.1767272301538</v>
      </c>
      <c r="K29" s="7">
        <f t="shared" si="4"/>
        <v>71.111111111111114</v>
      </c>
      <c r="L29" s="2">
        <f t="shared" si="5"/>
        <v>11.327115727879727</v>
      </c>
      <c r="N29" s="2"/>
      <c r="O29" s="29">
        <v>7.91</v>
      </c>
      <c r="P29" t="s">
        <v>17</v>
      </c>
    </row>
    <row r="30" spans="1:17" ht="15" thickBot="1" x14ac:dyDescent="0.35">
      <c r="A30" s="7"/>
      <c r="B30" s="11">
        <v>45975</v>
      </c>
      <c r="C30" s="3">
        <v>162443.29</v>
      </c>
      <c r="D30" s="2">
        <v>160000</v>
      </c>
      <c r="E30" s="2">
        <f t="shared" si="1"/>
        <v>1043.4690932111116</v>
      </c>
      <c r="F30" s="2">
        <f t="shared" si="2"/>
        <v>26529.479480940499</v>
      </c>
      <c r="G30" s="2">
        <f t="shared" si="3"/>
        <v>186529.4794809405</v>
      </c>
      <c r="H30">
        <v>1.1482744499999999</v>
      </c>
      <c r="I30" s="3">
        <v>234.8715</v>
      </c>
      <c r="J30" s="2">
        <f t="shared" si="0"/>
        <v>794.17672847042104</v>
      </c>
      <c r="K30" s="22">
        <f t="shared" si="4"/>
        <v>71.111111111111114</v>
      </c>
      <c r="L30" s="22">
        <f t="shared" si="5"/>
        <v>11.790879769306889</v>
      </c>
      <c r="N30" s="2"/>
      <c r="O30" s="23">
        <f>SUM(O23:O29)</f>
        <v>16610.18</v>
      </c>
    </row>
    <row r="31" spans="1:17" ht="15" thickTop="1" x14ac:dyDescent="0.3">
      <c r="A31" s="7"/>
      <c r="B31" s="11">
        <v>45976</v>
      </c>
      <c r="C31" s="3"/>
      <c r="D31" s="2"/>
      <c r="E31" s="2"/>
      <c r="F31" s="2"/>
      <c r="G31" s="2"/>
      <c r="I31" s="3"/>
      <c r="J31" s="2"/>
      <c r="K31" s="1"/>
      <c r="L31" s="1"/>
      <c r="M31" s="2"/>
    </row>
    <row r="32" spans="1:17" ht="16.8" thickBot="1" x14ac:dyDescent="0.5">
      <c r="A32" s="7"/>
      <c r="B32" s="11" t="s">
        <v>26</v>
      </c>
      <c r="C32" s="3">
        <f>+G32/H35</f>
        <v>12488.241874944526</v>
      </c>
      <c r="D32" s="2">
        <f>+O24</f>
        <v>12383.61</v>
      </c>
      <c r="E32" s="2"/>
      <c r="F32" s="2">
        <f>+O27</f>
        <v>2053.31</v>
      </c>
      <c r="G32" s="2">
        <f>+D32+F32</f>
        <v>14436.92</v>
      </c>
      <c r="I32" s="3"/>
      <c r="J32" s="2"/>
      <c r="K32" s="23">
        <f>+K30*N33</f>
        <v>2133.3333333333335</v>
      </c>
      <c r="L32" s="23">
        <f>+L30*N33</f>
        <v>353.72639307920667</v>
      </c>
      <c r="M32" t="s">
        <v>21</v>
      </c>
      <c r="N32" s="27" t="s">
        <v>29</v>
      </c>
    </row>
    <row r="33" spans="1:20" ht="15" thickTop="1" x14ac:dyDescent="0.3">
      <c r="A33" s="7"/>
      <c r="B33" s="11"/>
      <c r="C33" s="3">
        <f>+C30-C32</f>
        <v>149955.04812505547</v>
      </c>
      <c r="D33" s="2"/>
      <c r="E33" s="2"/>
      <c r="F33" s="2"/>
      <c r="G33" s="2"/>
      <c r="I33" s="3"/>
      <c r="J33" s="2"/>
      <c r="K33" s="24">
        <v>2133.33</v>
      </c>
      <c r="L33" s="24">
        <f>+O25+O26+O28+O29</f>
        <v>39.930000000000007</v>
      </c>
      <c r="M33" t="s">
        <v>22</v>
      </c>
      <c r="N33" s="26">
        <f>+B31-B9</f>
        <v>30</v>
      </c>
      <c r="O33" s="7"/>
      <c r="Q33" s="2"/>
    </row>
    <row r="34" spans="1:20" x14ac:dyDescent="0.3">
      <c r="A34" s="7"/>
      <c r="B34" s="11"/>
      <c r="C34" s="3"/>
      <c r="D34" s="2"/>
      <c r="E34" s="2"/>
      <c r="F34" s="2"/>
      <c r="G34" s="2"/>
      <c r="H34" s="17"/>
      <c r="I34" s="3"/>
      <c r="J34" s="25" t="s">
        <v>28</v>
      </c>
      <c r="K34" s="24">
        <f>+K33-K32</f>
        <v>-3.3333333335576754E-3</v>
      </c>
      <c r="L34" s="24">
        <f>+L33-L32</f>
        <v>-313.79639307920667</v>
      </c>
      <c r="N34" s="2"/>
      <c r="O34" s="7"/>
      <c r="Q34" s="2"/>
    </row>
    <row r="35" spans="1:20" x14ac:dyDescent="0.3">
      <c r="A35" s="28" t="s">
        <v>27</v>
      </c>
      <c r="B35" s="18">
        <v>45978</v>
      </c>
      <c r="C35" s="16">
        <f>+G35/H35</f>
        <v>149955.0481250555</v>
      </c>
      <c r="D35" s="13">
        <f>+D30-D32</f>
        <v>147616.39000000001</v>
      </c>
      <c r="E35" s="13"/>
      <c r="F35" s="13">
        <f>(C30*H35-$D$9)-F32</f>
        <v>25737.798288188696</v>
      </c>
      <c r="G35" s="13">
        <f>+D35+F35</f>
        <v>173354.18828818871</v>
      </c>
      <c r="H35" s="14">
        <v>1.1560410299999999</v>
      </c>
      <c r="I35" s="15">
        <v>236.46010000000001</v>
      </c>
      <c r="J35" s="13">
        <f t="shared" ref="J35:J52" si="6">+G35/I35</f>
        <v>733.12236731773646</v>
      </c>
      <c r="K35" s="30">
        <f t="shared" ref="K35:K73" si="7">+D35*$K$8/360</f>
        <v>65.60728444444446</v>
      </c>
      <c r="L35" s="30">
        <f t="shared" ref="L35:L73" si="8">+F35*$L$8/360</f>
        <v>11.439021461417198</v>
      </c>
      <c r="M35" s="13">
        <f>+J30-J35</f>
        <v>61.054361152684578</v>
      </c>
      <c r="N35" s="13" t="s">
        <v>35</v>
      </c>
      <c r="O35" s="2"/>
      <c r="P35" s="2"/>
      <c r="Q35" s="2"/>
    </row>
    <row r="36" spans="1:20" x14ac:dyDescent="0.3">
      <c r="A36" s="7"/>
      <c r="B36" s="11">
        <v>45979</v>
      </c>
      <c r="C36" s="3">
        <v>149955.04812505547</v>
      </c>
      <c r="D36" s="2">
        <v>147616.39000000001</v>
      </c>
      <c r="E36" s="2">
        <f t="shared" si="1"/>
        <v>277.70625227428172</v>
      </c>
      <c r="F36" s="2">
        <f>+C35*H36-$D$35</f>
        <v>26015.504540462978</v>
      </c>
      <c r="G36" s="2">
        <f t="shared" ref="G36:G52" si="9">$D$35+F36</f>
        <v>173631.89454046299</v>
      </c>
      <c r="H36">
        <v>1.1578929600000001</v>
      </c>
      <c r="I36" s="3">
        <v>236.8389</v>
      </c>
      <c r="J36" s="2">
        <f t="shared" si="6"/>
        <v>733.12236520463068</v>
      </c>
      <c r="K36" s="1">
        <f t="shared" si="7"/>
        <v>65.60728444444446</v>
      </c>
      <c r="L36" s="1">
        <f t="shared" si="8"/>
        <v>11.562446462427991</v>
      </c>
      <c r="M36" s="13">
        <f>+M35</f>
        <v>61.054361152684578</v>
      </c>
      <c r="N36" s="13" t="s">
        <v>36</v>
      </c>
      <c r="O36" s="2"/>
      <c r="P36" s="2"/>
      <c r="Q36" s="2"/>
    </row>
    <row r="37" spans="1:20" x14ac:dyDescent="0.3">
      <c r="A37" s="7"/>
      <c r="B37" s="11">
        <v>45980</v>
      </c>
      <c r="C37" s="3">
        <v>149955.04812505547</v>
      </c>
      <c r="D37" s="2">
        <v>147616.39000000001</v>
      </c>
      <c r="E37" s="2">
        <f t="shared" si="1"/>
        <v>668.31515983224381</v>
      </c>
      <c r="F37" s="2">
        <f t="shared" ref="F37:F52" si="10">+C36*H37-$D$35</f>
        <v>26683.819700295222</v>
      </c>
      <c r="G37" s="2">
        <f t="shared" si="9"/>
        <v>174300.20970029524</v>
      </c>
      <c r="H37">
        <v>1.1623497300000001</v>
      </c>
      <c r="I37" s="3">
        <v>237.75049999999999</v>
      </c>
      <c r="J37" s="2">
        <f t="shared" si="6"/>
        <v>733.12236861876318</v>
      </c>
      <c r="K37" s="1">
        <f t="shared" si="7"/>
        <v>65.60728444444446</v>
      </c>
      <c r="L37" s="1">
        <f t="shared" si="8"/>
        <v>11.85947542235343</v>
      </c>
      <c r="M37" s="13">
        <f>+$J$9-M36</f>
        <v>733.12233819931691</v>
      </c>
      <c r="N37" s="13" t="s">
        <v>37</v>
      </c>
      <c r="O37" s="2"/>
      <c r="P37" s="2"/>
      <c r="Q37" s="2"/>
    </row>
    <row r="38" spans="1:20" x14ac:dyDescent="0.3">
      <c r="A38" s="7"/>
      <c r="B38" s="11">
        <v>45981</v>
      </c>
      <c r="C38" s="3">
        <v>149955.04812505547</v>
      </c>
      <c r="D38" s="2">
        <v>147616.39000000001</v>
      </c>
      <c r="E38" s="2">
        <f t="shared" si="1"/>
        <v>1884.4176100158948</v>
      </c>
      <c r="F38" s="2">
        <f t="shared" si="10"/>
        <v>28568.237310311117</v>
      </c>
      <c r="G38" s="2">
        <f t="shared" si="9"/>
        <v>176184.62731031113</v>
      </c>
      <c r="H38">
        <v>1.1749162799999999</v>
      </c>
      <c r="I38" s="3">
        <v>240.32089999999999</v>
      </c>
      <c r="J38" s="2">
        <f t="shared" si="6"/>
        <v>733.1223680932917</v>
      </c>
      <c r="K38" s="1">
        <f t="shared" si="7"/>
        <v>65.60728444444446</v>
      </c>
      <c r="L38" s="1">
        <f t="shared" si="8"/>
        <v>12.696994360138273</v>
      </c>
      <c r="M38" s="2"/>
      <c r="N38" s="2"/>
      <c r="O38" s="2"/>
      <c r="P38" s="2"/>
      <c r="Q38" s="2"/>
    </row>
    <row r="39" spans="1:20" x14ac:dyDescent="0.3">
      <c r="A39" s="7"/>
      <c r="B39" s="11">
        <v>45982</v>
      </c>
      <c r="C39" s="3">
        <v>149955.04812505547</v>
      </c>
      <c r="D39" s="2">
        <v>147616.39000000001</v>
      </c>
      <c r="E39" s="2">
        <f t="shared" si="1"/>
        <v>921.60723072130349</v>
      </c>
      <c r="F39" s="2">
        <f t="shared" si="10"/>
        <v>29489.84454103242</v>
      </c>
      <c r="G39" s="2">
        <f t="shared" si="9"/>
        <v>177106.23454103243</v>
      </c>
      <c r="H39">
        <v>1.1810621699999999</v>
      </c>
      <c r="I39" s="3">
        <v>241.578</v>
      </c>
      <c r="J39" s="2">
        <f t="shared" si="6"/>
        <v>733.12236437520153</v>
      </c>
      <c r="K39" s="1">
        <f t="shared" si="7"/>
        <v>65.60728444444446</v>
      </c>
      <c r="L39" s="1">
        <f t="shared" si="8"/>
        <v>13.106597573792186</v>
      </c>
      <c r="M39" s="2"/>
      <c r="N39" s="2"/>
      <c r="O39" s="2"/>
      <c r="P39" s="2"/>
      <c r="Q39" s="2"/>
    </row>
    <row r="40" spans="1:20" x14ac:dyDescent="0.3">
      <c r="A40" s="7"/>
      <c r="B40" s="11">
        <v>45986</v>
      </c>
      <c r="C40" s="3">
        <v>149955.04812505547</v>
      </c>
      <c r="D40" s="2">
        <v>147616.39000000001</v>
      </c>
      <c r="E40" s="2">
        <f t="shared" si="1"/>
        <v>1123.5097066178569</v>
      </c>
      <c r="F40" s="2">
        <f t="shared" si="10"/>
        <v>30613.354247650277</v>
      </c>
      <c r="G40" s="2">
        <f t="shared" si="9"/>
        <v>178229.74424765029</v>
      </c>
      <c r="H40">
        <v>1.1885544800000001</v>
      </c>
      <c r="I40" s="3">
        <v>243.1105</v>
      </c>
      <c r="J40" s="2">
        <f t="shared" si="6"/>
        <v>733.12236307214323</v>
      </c>
      <c r="K40" s="1">
        <f t="shared" si="7"/>
        <v>65.60728444444446</v>
      </c>
      <c r="L40" s="1">
        <f t="shared" si="8"/>
        <v>13.605935221177901</v>
      </c>
      <c r="M40" s="2"/>
      <c r="N40" s="2"/>
      <c r="O40" s="2"/>
      <c r="P40" s="2"/>
      <c r="Q40" s="2"/>
    </row>
    <row r="41" spans="1:20" x14ac:dyDescent="0.3">
      <c r="A41" s="7"/>
      <c r="B41" s="11">
        <v>45987</v>
      </c>
      <c r="C41" s="3">
        <v>149955.04812505547</v>
      </c>
      <c r="D41" s="2">
        <v>147616.39000000001</v>
      </c>
      <c r="E41" s="2">
        <f t="shared" si="1"/>
        <v>338.8504231472034</v>
      </c>
      <c r="F41" s="2">
        <f t="shared" si="10"/>
        <v>30952.204670797481</v>
      </c>
      <c r="G41" s="2">
        <f t="shared" si="9"/>
        <v>178568.59467079749</v>
      </c>
      <c r="H41">
        <v>1.19081416</v>
      </c>
      <c r="I41" s="3">
        <v>243.5727</v>
      </c>
      <c r="J41" s="2">
        <f t="shared" si="6"/>
        <v>733.12236827360982</v>
      </c>
      <c r="K41" s="1">
        <f t="shared" si="7"/>
        <v>65.60728444444446</v>
      </c>
      <c r="L41" s="1">
        <f t="shared" si="8"/>
        <v>13.756535409243325</v>
      </c>
      <c r="M41" s="2"/>
      <c r="N41" s="2"/>
      <c r="O41" s="2"/>
      <c r="P41" s="2"/>
      <c r="Q41" s="2"/>
    </row>
    <row r="42" spans="1:20" x14ac:dyDescent="0.3">
      <c r="A42" s="7"/>
      <c r="B42" s="11">
        <v>45988</v>
      </c>
      <c r="C42" s="3">
        <v>149955.04812505547</v>
      </c>
      <c r="D42" s="2">
        <v>147616.39000000001</v>
      </c>
      <c r="E42" s="2">
        <f t="shared" si="1"/>
        <v>790.08615666226251</v>
      </c>
      <c r="F42" s="2">
        <f t="shared" si="10"/>
        <v>31742.290827459743</v>
      </c>
      <c r="G42" s="2">
        <f t="shared" si="9"/>
        <v>179358.68082745976</v>
      </c>
      <c r="H42">
        <v>1.1960829799999999</v>
      </c>
      <c r="I42" s="3">
        <v>244.65039999999999</v>
      </c>
      <c r="J42" s="2">
        <f t="shared" si="6"/>
        <v>733.12236901088147</v>
      </c>
      <c r="K42" s="1">
        <f t="shared" si="7"/>
        <v>65.60728444444446</v>
      </c>
      <c r="L42" s="1">
        <f t="shared" si="8"/>
        <v>14.107684812204329</v>
      </c>
      <c r="M42" s="2"/>
      <c r="N42" s="2"/>
      <c r="O42" s="7"/>
      <c r="P42" s="2"/>
      <c r="Q42" s="2"/>
    </row>
    <row r="43" spans="1:20" x14ac:dyDescent="0.3">
      <c r="A43" s="7"/>
      <c r="B43" s="11">
        <v>45989</v>
      </c>
      <c r="C43" s="3">
        <v>149955.04812505547</v>
      </c>
      <c r="D43" s="2">
        <v>147616.39000000001</v>
      </c>
      <c r="E43" s="2">
        <f t="shared" si="1"/>
        <v>747.27099132159492</v>
      </c>
      <c r="F43" s="2">
        <f t="shared" si="10"/>
        <v>32489.561818781338</v>
      </c>
      <c r="G43" s="2">
        <f t="shared" si="9"/>
        <v>180105.95181878135</v>
      </c>
      <c r="H43">
        <v>1.20106628</v>
      </c>
      <c r="I43" s="3">
        <v>245.66970000000001</v>
      </c>
      <c r="J43" s="2">
        <f t="shared" si="6"/>
        <v>733.12236640815433</v>
      </c>
      <c r="K43" s="1">
        <f t="shared" si="7"/>
        <v>65.60728444444446</v>
      </c>
      <c r="L43" s="1">
        <f t="shared" si="8"/>
        <v>14.439805252791707</v>
      </c>
      <c r="M43" s="2"/>
      <c r="N43" s="2"/>
      <c r="O43" s="2"/>
      <c r="P43" s="2"/>
      <c r="Q43" s="2"/>
      <c r="R43" s="2"/>
      <c r="S43" s="2"/>
      <c r="T43" s="2"/>
    </row>
    <row r="44" spans="1:20" s="5" customFormat="1" x14ac:dyDescent="0.3">
      <c r="A44" s="7"/>
      <c r="B44" s="20">
        <v>45992</v>
      </c>
      <c r="C44" s="3">
        <v>149955.04812505547</v>
      </c>
      <c r="D44" s="2">
        <v>147616.39000000001</v>
      </c>
      <c r="E44" s="2">
        <f t="shared" si="1"/>
        <v>1195.4296472490823</v>
      </c>
      <c r="F44" s="2">
        <f t="shared" si="10"/>
        <v>33684.99146603042</v>
      </c>
      <c r="G44" s="2">
        <f t="shared" si="9"/>
        <v>181301.38146603043</v>
      </c>
      <c r="H44" s="5">
        <v>1.2090382</v>
      </c>
      <c r="I44" s="19">
        <v>247.30029999999999</v>
      </c>
      <c r="J44" s="7">
        <f t="shared" si="6"/>
        <v>733.12236768831428</v>
      </c>
      <c r="K44" s="1">
        <f t="shared" si="7"/>
        <v>65.60728444444446</v>
      </c>
      <c r="L44" s="1">
        <f t="shared" si="8"/>
        <v>14.971107318235742</v>
      </c>
      <c r="M44" s="7"/>
      <c r="N44" s="2"/>
      <c r="O44" s="2">
        <v>1968.22</v>
      </c>
      <c r="P44" t="s">
        <v>23</v>
      </c>
      <c r="Q44" s="2"/>
      <c r="R44" s="2"/>
      <c r="S44" s="2"/>
      <c r="T44" s="2"/>
    </row>
    <row r="45" spans="1:20" x14ac:dyDescent="0.3">
      <c r="A45" s="7"/>
      <c r="B45" s="11">
        <v>45993</v>
      </c>
      <c r="C45" s="3">
        <v>149955.04812505547</v>
      </c>
      <c r="D45" s="2">
        <v>147616.39000000001</v>
      </c>
      <c r="E45" s="2">
        <f t="shared" si="1"/>
        <v>78.297528827999486</v>
      </c>
      <c r="F45" s="2">
        <f t="shared" si="10"/>
        <v>33763.28899485842</v>
      </c>
      <c r="G45" s="2">
        <f t="shared" si="9"/>
        <v>181379.67899485843</v>
      </c>
      <c r="H45">
        <v>1.2095603399999999</v>
      </c>
      <c r="I45" s="3">
        <v>247.40710000000001</v>
      </c>
      <c r="J45" s="2">
        <f t="shared" si="6"/>
        <v>733.12236793066336</v>
      </c>
      <c r="K45" s="1">
        <f t="shared" si="7"/>
        <v>65.60728444444446</v>
      </c>
      <c r="L45" s="1">
        <f t="shared" si="8"/>
        <v>15.005906219937076</v>
      </c>
      <c r="M45" s="2"/>
      <c r="N45" s="2"/>
      <c r="O45" s="2">
        <v>12548.72</v>
      </c>
      <c r="P45" t="s">
        <v>24</v>
      </c>
      <c r="Q45" s="2"/>
      <c r="R45" s="2"/>
      <c r="S45" s="2"/>
      <c r="T45" s="2"/>
    </row>
    <row r="46" spans="1:20" x14ac:dyDescent="0.3">
      <c r="B46" s="11">
        <v>45994</v>
      </c>
      <c r="C46" s="3">
        <v>149955.04812505547</v>
      </c>
      <c r="D46" s="2">
        <v>147616.39000000001</v>
      </c>
      <c r="E46" s="2">
        <f t="shared" si="1"/>
        <v>1313.6077211259981</v>
      </c>
      <c r="F46" s="2">
        <f t="shared" si="10"/>
        <v>35076.896715984418</v>
      </c>
      <c r="G46" s="2">
        <f t="shared" si="9"/>
        <v>182693.28671598443</v>
      </c>
      <c r="H46">
        <v>1.2183203499999999</v>
      </c>
      <c r="I46" s="3">
        <v>249.19890000000001</v>
      </c>
      <c r="J46" s="2">
        <f t="shared" si="6"/>
        <v>733.12236416767655</v>
      </c>
      <c r="K46" s="1">
        <f t="shared" si="7"/>
        <v>65.60728444444446</v>
      </c>
      <c r="L46" s="1">
        <f t="shared" si="8"/>
        <v>15.589731873770852</v>
      </c>
      <c r="M46" s="2"/>
      <c r="N46" s="2"/>
      <c r="O46" s="2">
        <v>0.37</v>
      </c>
      <c r="P46" t="s">
        <v>14</v>
      </c>
      <c r="R46" s="2"/>
      <c r="S46" s="2"/>
      <c r="T46" s="2"/>
    </row>
    <row r="47" spans="1:20" x14ac:dyDescent="0.3">
      <c r="B47" s="11">
        <v>45995</v>
      </c>
      <c r="C47" s="3">
        <v>149955.04812505547</v>
      </c>
      <c r="D47" s="2">
        <v>147616.39000000001</v>
      </c>
      <c r="E47" s="2">
        <f t="shared" si="1"/>
        <v>1970.4873089882603</v>
      </c>
      <c r="F47" s="2">
        <f t="shared" si="10"/>
        <v>37047.384024972678</v>
      </c>
      <c r="G47" s="2">
        <f t="shared" si="9"/>
        <v>184663.77402497269</v>
      </c>
      <c r="H47">
        <v>1.23146087</v>
      </c>
      <c r="I47" s="3">
        <v>251.88669999999999</v>
      </c>
      <c r="J47" s="2">
        <f t="shared" si="6"/>
        <v>733.12236821147246</v>
      </c>
      <c r="K47" s="1">
        <f t="shared" si="7"/>
        <v>65.60728444444446</v>
      </c>
      <c r="L47" s="1">
        <f t="shared" si="8"/>
        <v>16.465504011098968</v>
      </c>
      <c r="M47" s="2"/>
      <c r="N47" s="2"/>
      <c r="O47" s="2">
        <v>7.5</v>
      </c>
      <c r="R47" s="2"/>
      <c r="S47" s="2"/>
      <c r="T47" s="2"/>
    </row>
    <row r="48" spans="1:20" x14ac:dyDescent="0.3">
      <c r="B48" s="11">
        <v>45996</v>
      </c>
      <c r="C48" s="3">
        <v>149955.04812505547</v>
      </c>
      <c r="D48" s="2">
        <v>147616.39000000001</v>
      </c>
      <c r="E48" s="2">
        <f t="shared" si="1"/>
        <v>2187.4902582309733</v>
      </c>
      <c r="F48" s="2">
        <f t="shared" si="10"/>
        <v>39234.874283203651</v>
      </c>
      <c r="G48" s="2">
        <f t="shared" si="9"/>
        <v>186851.26428320367</v>
      </c>
      <c r="H48">
        <v>1.2460485100000001</v>
      </c>
      <c r="I48" s="3">
        <v>254.87049999999999</v>
      </c>
      <c r="J48" s="2">
        <f t="shared" si="6"/>
        <v>733.12236717550161</v>
      </c>
      <c r="K48" s="1">
        <f t="shared" si="7"/>
        <v>65.60728444444446</v>
      </c>
      <c r="L48" s="1">
        <f t="shared" si="8"/>
        <v>17.437721903646068</v>
      </c>
      <c r="M48" s="2"/>
      <c r="N48" s="2"/>
      <c r="O48" s="2">
        <v>4317.8999999999996</v>
      </c>
      <c r="P48" t="s">
        <v>25</v>
      </c>
      <c r="R48" s="2"/>
      <c r="S48" s="2"/>
      <c r="T48" s="2"/>
    </row>
    <row r="49" spans="1:20" x14ac:dyDescent="0.3">
      <c r="B49" s="11">
        <v>46000</v>
      </c>
      <c r="C49" s="3">
        <v>149955.04812505547</v>
      </c>
      <c r="D49" s="2">
        <v>147616.39000000001</v>
      </c>
      <c r="E49" s="2">
        <f t="shared" si="1"/>
        <v>2242.0349074359692</v>
      </c>
      <c r="F49" s="2">
        <f t="shared" si="10"/>
        <v>41476.909190639621</v>
      </c>
      <c r="G49" s="2">
        <f t="shared" si="9"/>
        <v>189093.29919063963</v>
      </c>
      <c r="H49">
        <v>1.2609998899999999</v>
      </c>
      <c r="I49" s="3">
        <v>257.92869999999999</v>
      </c>
      <c r="J49" s="2">
        <f t="shared" si="6"/>
        <v>733.12236750171519</v>
      </c>
      <c r="K49" s="1">
        <f t="shared" si="7"/>
        <v>65.60728444444446</v>
      </c>
      <c r="L49" s="1">
        <f t="shared" si="8"/>
        <v>18.434181862506499</v>
      </c>
      <c r="N49" s="2"/>
      <c r="O49" s="2">
        <v>22.58</v>
      </c>
      <c r="P49" t="s">
        <v>17</v>
      </c>
      <c r="R49" s="2"/>
      <c r="S49" s="2"/>
      <c r="T49" s="2"/>
    </row>
    <row r="50" spans="1:20" x14ac:dyDescent="0.3">
      <c r="B50" s="11">
        <v>46001</v>
      </c>
      <c r="C50" s="3">
        <v>149955.04812505547</v>
      </c>
      <c r="D50" s="2">
        <v>147616.39000000001</v>
      </c>
      <c r="E50" s="2">
        <f t="shared" si="1"/>
        <v>3060.7114935737918</v>
      </c>
      <c r="F50" s="2">
        <f t="shared" si="10"/>
        <v>44537.620684213412</v>
      </c>
      <c r="G50" s="2">
        <f t="shared" si="9"/>
        <v>192154.01068421343</v>
      </c>
      <c r="H50">
        <v>1.28141075</v>
      </c>
      <c r="I50" s="3">
        <v>262.10359999999997</v>
      </c>
      <c r="J50" s="2">
        <f t="shared" si="6"/>
        <v>733.12236338689524</v>
      </c>
      <c r="K50" s="1">
        <f t="shared" si="7"/>
        <v>65.60728444444446</v>
      </c>
      <c r="L50" s="1">
        <f t="shared" si="8"/>
        <v>19.794498081872629</v>
      </c>
      <c r="N50" s="2"/>
      <c r="O50" s="2">
        <v>10.69</v>
      </c>
      <c r="P50" t="s">
        <v>17</v>
      </c>
      <c r="R50" s="2"/>
      <c r="S50" s="2"/>
      <c r="T50" s="2"/>
    </row>
    <row r="51" spans="1:20" ht="15" thickBot="1" x14ac:dyDescent="0.35">
      <c r="B51" s="11">
        <v>46002</v>
      </c>
      <c r="C51" s="3">
        <v>149955.04812505547</v>
      </c>
      <c r="D51" s="2">
        <v>147616.39000000001</v>
      </c>
      <c r="E51" s="2">
        <f t="shared" si="1"/>
        <v>2171.948917043308</v>
      </c>
      <c r="F51" s="2">
        <f t="shared" si="10"/>
        <v>46709.56960125672</v>
      </c>
      <c r="G51" s="2">
        <f t="shared" si="9"/>
        <v>194325.95960125673</v>
      </c>
      <c r="H51">
        <v>1.29589475</v>
      </c>
      <c r="I51" s="3">
        <v>265.06619999999998</v>
      </c>
      <c r="J51" s="2">
        <f t="shared" si="6"/>
        <v>733.12236566282968</v>
      </c>
      <c r="K51" s="1">
        <f t="shared" si="7"/>
        <v>65.60728444444446</v>
      </c>
      <c r="L51" s="1">
        <f t="shared" si="8"/>
        <v>20.759808711669653</v>
      </c>
      <c r="N51" s="2"/>
      <c r="O51" s="23">
        <f>SUM(O44:O50)</f>
        <v>18875.98</v>
      </c>
      <c r="R51" s="2"/>
      <c r="S51" s="2"/>
      <c r="T51" s="2"/>
    </row>
    <row r="52" spans="1:20" ht="16.8" thickTop="1" x14ac:dyDescent="0.45">
      <c r="B52" s="11">
        <v>46003</v>
      </c>
      <c r="C52" s="3">
        <v>149955.04812505547</v>
      </c>
      <c r="D52" s="2">
        <v>147616.39000000001</v>
      </c>
      <c r="E52" s="2">
        <f t="shared" si="1"/>
        <v>1967.4807102733466</v>
      </c>
      <c r="F52" s="2">
        <f t="shared" si="10"/>
        <v>48677.050311530067</v>
      </c>
      <c r="G52" s="2">
        <f t="shared" si="9"/>
        <v>196293.44031153008</v>
      </c>
      <c r="H52">
        <v>1.30901522</v>
      </c>
      <c r="I52" s="3">
        <v>267.74990000000003</v>
      </c>
      <c r="J52" s="2">
        <f t="shared" si="6"/>
        <v>733.12236647531915</v>
      </c>
      <c r="K52" s="1">
        <f t="shared" si="7"/>
        <v>65.60728444444446</v>
      </c>
      <c r="L52" s="1">
        <f t="shared" si="8"/>
        <v>21.634244582902252</v>
      </c>
      <c r="N52" s="27" t="s">
        <v>29</v>
      </c>
      <c r="R52" s="2"/>
      <c r="S52" s="2"/>
      <c r="T52" s="2"/>
    </row>
    <row r="53" spans="1:20" ht="15" thickBot="1" x14ac:dyDescent="0.35">
      <c r="B53" s="11" t="s">
        <v>26</v>
      </c>
      <c r="C53" s="3">
        <f>+G53/H56</f>
        <v>12740.3447829341</v>
      </c>
      <c r="D53" s="2">
        <f>+O45</f>
        <v>12548.72</v>
      </c>
      <c r="E53" s="2"/>
      <c r="F53" s="2">
        <f>+O48</f>
        <v>4317.8999999999996</v>
      </c>
      <c r="G53" s="2">
        <f>+D53+F53</f>
        <v>16866.62</v>
      </c>
      <c r="I53" s="3"/>
      <c r="J53" s="2"/>
      <c r="K53" s="23">
        <f>+K52*N53</f>
        <v>1640.1821111111115</v>
      </c>
      <c r="L53" s="23">
        <f>+L52*N53</f>
        <v>540.85611457255629</v>
      </c>
      <c r="M53" t="s">
        <v>21</v>
      </c>
      <c r="N53" s="26">
        <f>+B52-B35</f>
        <v>25</v>
      </c>
      <c r="R53" s="2"/>
      <c r="S53" s="2"/>
      <c r="T53" s="2"/>
    </row>
    <row r="54" spans="1:20" ht="15" thickTop="1" x14ac:dyDescent="0.3">
      <c r="A54" s="7"/>
      <c r="B54" s="11"/>
      <c r="C54" s="3">
        <f>+C52-C53</f>
        <v>137214.70334212139</v>
      </c>
      <c r="D54" s="2">
        <f>+D52-D53</f>
        <v>135067.67000000001</v>
      </c>
      <c r="E54" s="2"/>
      <c r="F54" s="2"/>
      <c r="G54" s="2"/>
      <c r="I54" s="3"/>
      <c r="J54" s="2"/>
      <c r="K54" s="24">
        <f>+O44</f>
        <v>1968.22</v>
      </c>
      <c r="L54" s="24">
        <f>+O46+O47+O49+O50</f>
        <v>41.14</v>
      </c>
      <c r="M54" t="s">
        <v>22</v>
      </c>
      <c r="N54" s="2"/>
      <c r="R54" s="2"/>
      <c r="S54" s="2"/>
      <c r="T54" s="2"/>
    </row>
    <row r="55" spans="1:20" x14ac:dyDescent="0.3">
      <c r="B55" s="11"/>
      <c r="C55" s="3"/>
      <c r="D55" s="2"/>
      <c r="E55" s="2"/>
      <c r="F55" s="2"/>
      <c r="G55" s="2"/>
      <c r="I55" s="3"/>
      <c r="J55" s="25" t="s">
        <v>28</v>
      </c>
      <c r="K55" s="24">
        <f>+K54-K53</f>
        <v>328.03788888888857</v>
      </c>
      <c r="L55" s="24">
        <f>+L54-L53</f>
        <v>-499.71611457255631</v>
      </c>
      <c r="N55" s="2"/>
      <c r="R55" s="2"/>
      <c r="S55" s="2"/>
      <c r="T55" s="2"/>
    </row>
    <row r="56" spans="1:20" x14ac:dyDescent="0.3">
      <c r="A56" s="28" t="s">
        <v>30</v>
      </c>
      <c r="B56" s="18">
        <v>46006</v>
      </c>
      <c r="C56" s="16">
        <f>+G56/H56</f>
        <v>137214.70334212139</v>
      </c>
      <c r="D56" s="13">
        <f>+D52-D53</f>
        <v>135067.67000000001</v>
      </c>
      <c r="E56" s="13"/>
      <c r="F56" s="13">
        <f>(C52*H56-$D$35)-F53</f>
        <v>46587.402850492879</v>
      </c>
      <c r="G56" s="13">
        <f>+D56+F56</f>
        <v>181655.0728504929</v>
      </c>
      <c r="H56" s="14">
        <v>1.32387469</v>
      </c>
      <c r="I56" s="15">
        <v>270.78930000000003</v>
      </c>
      <c r="J56" s="13">
        <f>+G56/I56</f>
        <v>670.83549036277611</v>
      </c>
      <c r="K56" s="13">
        <f t="shared" si="7"/>
        <v>60.030075555555563</v>
      </c>
      <c r="L56" s="13">
        <f t="shared" si="8"/>
        <v>20.705512377996836</v>
      </c>
      <c r="M56" s="31">
        <f>+J52-J56</f>
        <v>62.286876112543041</v>
      </c>
      <c r="N56" s="13" t="s">
        <v>35</v>
      </c>
      <c r="R56" s="2"/>
      <c r="S56" s="2"/>
      <c r="T56" s="2"/>
    </row>
    <row r="57" spans="1:20" x14ac:dyDescent="0.3">
      <c r="B57" s="11">
        <v>46007</v>
      </c>
      <c r="C57" s="3">
        <v>137214.70334212139</v>
      </c>
      <c r="D57" s="2">
        <v>135067.67000000001</v>
      </c>
      <c r="E57" s="2">
        <f>+F57-F56</f>
        <v>1876.1928968252105</v>
      </c>
      <c r="F57" s="2">
        <f t="shared" ref="F57:F84" si="11">+G57-D57</f>
        <v>48463.59574731809</v>
      </c>
      <c r="G57" s="2">
        <f t="shared" ref="G57:G84" si="12">+C57*H57</f>
        <v>183531.2657473181</v>
      </c>
      <c r="H57">
        <v>1.3375481</v>
      </c>
      <c r="I57" s="3">
        <v>273.58609999999999</v>
      </c>
      <c r="J57" s="2">
        <f t="shared" ref="J57:J91" si="13">+G57/I57</f>
        <v>670.83549108422585</v>
      </c>
      <c r="K57" s="1">
        <f t="shared" si="7"/>
        <v>60.030075555555563</v>
      </c>
      <c r="L57" s="1">
        <f t="shared" si="8"/>
        <v>21.539375887696927</v>
      </c>
      <c r="M57" s="13">
        <f>+M35+M56</f>
        <v>123.34123726522762</v>
      </c>
      <c r="N57" s="13" t="s">
        <v>36</v>
      </c>
      <c r="O57" s="2"/>
      <c r="P57" s="2"/>
      <c r="Q57" s="2"/>
      <c r="R57" s="2"/>
      <c r="S57" s="2"/>
      <c r="T57" s="2"/>
    </row>
    <row r="58" spans="1:20" x14ac:dyDescent="0.3">
      <c r="B58" s="11">
        <v>46008</v>
      </c>
      <c r="C58" s="3">
        <v>137214.70334212139</v>
      </c>
      <c r="D58" s="2">
        <v>135067.67000000001</v>
      </c>
      <c r="E58" s="2">
        <f t="shared" si="1"/>
        <v>2006.3341822100338</v>
      </c>
      <c r="F58" s="2">
        <f t="shared" si="11"/>
        <v>50469.929929528123</v>
      </c>
      <c r="G58" s="2">
        <f t="shared" si="12"/>
        <v>185537.59992952814</v>
      </c>
      <c r="H58">
        <v>1.3521699599999999</v>
      </c>
      <c r="I58" s="3">
        <v>276.57690000000002</v>
      </c>
      <c r="J58" s="2">
        <f t="shared" si="13"/>
        <v>670.8354888984876</v>
      </c>
      <c r="K58" s="1">
        <f t="shared" si="7"/>
        <v>60.030075555555563</v>
      </c>
      <c r="L58" s="1">
        <f t="shared" si="8"/>
        <v>22.431079968679168</v>
      </c>
      <c r="M58" s="13">
        <f>+$J$9-M57</f>
        <v>670.83546208677387</v>
      </c>
      <c r="N58" s="13" t="s">
        <v>37</v>
      </c>
      <c r="O58" s="2"/>
      <c r="P58" s="2"/>
      <c r="Q58" s="2"/>
      <c r="R58" s="2"/>
      <c r="S58" s="2"/>
      <c r="T58" s="2"/>
    </row>
    <row r="59" spans="1:20" x14ac:dyDescent="0.3">
      <c r="B59" s="11">
        <v>46009</v>
      </c>
      <c r="C59" s="3">
        <v>137214.70334212139</v>
      </c>
      <c r="D59" s="2">
        <v>135067.67000000001</v>
      </c>
      <c r="E59" s="2">
        <f t="shared" si="1"/>
        <v>2003.1151252696291</v>
      </c>
      <c r="F59" s="2">
        <f t="shared" si="11"/>
        <v>52473.045054797753</v>
      </c>
      <c r="G59" s="2">
        <f t="shared" si="12"/>
        <v>187540.71505479777</v>
      </c>
      <c r="H59">
        <v>1.36676836</v>
      </c>
      <c r="I59" s="3">
        <v>279.56290000000001</v>
      </c>
      <c r="J59" s="2">
        <f t="shared" si="13"/>
        <v>670.83549016982499</v>
      </c>
      <c r="K59" s="1">
        <f t="shared" si="7"/>
        <v>60.030075555555563</v>
      </c>
      <c r="L59" s="1">
        <f t="shared" si="8"/>
        <v>23.32135335768789</v>
      </c>
      <c r="N59" s="2"/>
      <c r="O59" s="2"/>
      <c r="P59" s="2"/>
      <c r="Q59" s="2"/>
      <c r="R59" s="2"/>
      <c r="S59" s="2"/>
      <c r="T59" s="2"/>
    </row>
    <row r="60" spans="1:20" x14ac:dyDescent="0.3">
      <c r="B60" s="11">
        <v>46010</v>
      </c>
      <c r="C60" s="3">
        <v>137214.70334212139</v>
      </c>
      <c r="D60" s="2">
        <v>135067.67000000001</v>
      </c>
      <c r="E60" s="2">
        <f t="shared" si="1"/>
        <v>1978.8967301297234</v>
      </c>
      <c r="F60" s="2">
        <f t="shared" si="11"/>
        <v>54451.941784927476</v>
      </c>
      <c r="G60" s="2">
        <f t="shared" si="12"/>
        <v>189519.61178492749</v>
      </c>
      <c r="H60">
        <v>1.3811902599999999</v>
      </c>
      <c r="I60" s="3">
        <v>282.51280000000003</v>
      </c>
      <c r="J60" s="2">
        <f t="shared" si="13"/>
        <v>670.83548704670181</v>
      </c>
      <c r="K60" s="1">
        <f t="shared" si="7"/>
        <v>60.030075555555563</v>
      </c>
      <c r="L60" s="1">
        <f t="shared" si="8"/>
        <v>24.200863015523321</v>
      </c>
      <c r="N60" s="2"/>
      <c r="O60" s="2"/>
      <c r="P60" s="2"/>
      <c r="Q60" s="2"/>
      <c r="R60" s="2"/>
      <c r="S60" s="2"/>
      <c r="T60" s="2"/>
    </row>
    <row r="61" spans="1:20" x14ac:dyDescent="0.3">
      <c r="B61" s="11">
        <v>46013</v>
      </c>
      <c r="C61" s="3">
        <v>137214.70334212139</v>
      </c>
      <c r="D61" s="2">
        <v>135067.67000000001</v>
      </c>
      <c r="E61" s="2">
        <f t="shared" si="1"/>
        <v>1938.4472077315149</v>
      </c>
      <c r="F61" s="2">
        <f t="shared" si="11"/>
        <v>56390.388992658991</v>
      </c>
      <c r="G61" s="2">
        <f t="shared" si="12"/>
        <v>191458.058992659</v>
      </c>
      <c r="H61">
        <v>1.3953173699999999</v>
      </c>
      <c r="I61" s="3">
        <v>285.4024</v>
      </c>
      <c r="J61" s="2">
        <f t="shared" si="13"/>
        <v>670.83549049573162</v>
      </c>
      <c r="K61" s="1">
        <f t="shared" si="7"/>
        <v>60.030075555555563</v>
      </c>
      <c r="L61" s="1">
        <f t="shared" si="8"/>
        <v>25.062395107848442</v>
      </c>
      <c r="N61" s="2"/>
      <c r="O61" s="2"/>
      <c r="P61" s="2"/>
      <c r="Q61" s="2"/>
      <c r="R61" s="2"/>
      <c r="S61" s="2"/>
      <c r="T61" s="2"/>
    </row>
    <row r="62" spans="1:20" x14ac:dyDescent="0.3">
      <c r="B62" s="11">
        <v>46014</v>
      </c>
      <c r="C62" s="3">
        <v>137214.70334212139</v>
      </c>
      <c r="D62" s="2">
        <v>135067.67000000001</v>
      </c>
      <c r="E62" s="2">
        <f t="shared" si="1"/>
        <v>2044.0352941003221</v>
      </c>
      <c r="F62" s="2">
        <f t="shared" si="11"/>
        <v>58434.424286759313</v>
      </c>
      <c r="G62" s="2">
        <f t="shared" si="12"/>
        <v>193502.09428675933</v>
      </c>
      <c r="H62">
        <v>1.4102139899999999</v>
      </c>
      <c r="I62" s="3">
        <v>288.44940000000003</v>
      </c>
      <c r="J62" s="2">
        <f t="shared" si="13"/>
        <v>670.83548895147396</v>
      </c>
      <c r="K62" s="1">
        <f t="shared" si="7"/>
        <v>60.030075555555563</v>
      </c>
      <c r="L62" s="1">
        <f t="shared" si="8"/>
        <v>25.970855238559697</v>
      </c>
      <c r="N62" s="2"/>
      <c r="O62" s="2"/>
      <c r="P62" s="2"/>
      <c r="Q62" s="2"/>
      <c r="R62" s="2"/>
      <c r="S62" s="2"/>
      <c r="T62" s="2"/>
    </row>
    <row r="63" spans="1:20" x14ac:dyDescent="0.3">
      <c r="B63" s="11">
        <v>46017</v>
      </c>
      <c r="C63" s="3">
        <v>137214.70334212139</v>
      </c>
      <c r="D63" s="2">
        <v>135067.67000000001</v>
      </c>
      <c r="E63" s="2">
        <f t="shared" si="1"/>
        <v>1947.4347708004352</v>
      </c>
      <c r="F63" s="2">
        <f t="shared" si="11"/>
        <v>60381.859057559748</v>
      </c>
      <c r="G63" s="2">
        <f t="shared" si="12"/>
        <v>195449.52905755976</v>
      </c>
      <c r="H63">
        <v>1.4244066</v>
      </c>
      <c r="I63" s="3">
        <v>291.35239999999999</v>
      </c>
      <c r="J63" s="2">
        <f t="shared" si="13"/>
        <v>670.83548670805442</v>
      </c>
      <c r="K63" s="1">
        <f t="shared" si="7"/>
        <v>60.030075555555563</v>
      </c>
      <c r="L63" s="1">
        <f t="shared" si="8"/>
        <v>26.836381803359888</v>
      </c>
      <c r="N63" s="2"/>
      <c r="O63" s="2"/>
      <c r="P63" s="2"/>
      <c r="Q63" s="2"/>
      <c r="R63" s="2"/>
      <c r="S63" s="2"/>
      <c r="T63" s="2"/>
    </row>
    <row r="64" spans="1:20" x14ac:dyDescent="0.3">
      <c r="B64" s="11">
        <v>46020</v>
      </c>
      <c r="C64" s="3">
        <v>137214.70334212139</v>
      </c>
      <c r="D64" s="2">
        <v>135067.67000000001</v>
      </c>
      <c r="E64" s="2">
        <f t="shared" si="1"/>
        <v>2426.7476839269802</v>
      </c>
      <c r="F64" s="2">
        <f t="shared" si="11"/>
        <v>62808.606741486728</v>
      </c>
      <c r="G64" s="2">
        <f t="shared" si="12"/>
        <v>197876.27674148674</v>
      </c>
      <c r="H64">
        <v>1.4420923699999999</v>
      </c>
      <c r="I64" s="3">
        <v>294.9699</v>
      </c>
      <c r="J64" s="2">
        <f t="shared" si="13"/>
        <v>670.83548776158773</v>
      </c>
      <c r="K64" s="1">
        <f t="shared" si="7"/>
        <v>60.030075555555563</v>
      </c>
      <c r="L64" s="1">
        <f t="shared" si="8"/>
        <v>27.914936329549658</v>
      </c>
      <c r="N64" s="2"/>
      <c r="O64" s="2"/>
      <c r="P64" s="2"/>
      <c r="Q64" s="2"/>
      <c r="R64" s="2"/>
      <c r="S64" s="2"/>
      <c r="T64" s="2"/>
    </row>
    <row r="65" spans="1:20" x14ac:dyDescent="0.3">
      <c r="B65" s="11">
        <v>46021</v>
      </c>
      <c r="C65" s="3">
        <v>137214.70334212139</v>
      </c>
      <c r="D65" s="2">
        <v>135067.67000000001</v>
      </c>
      <c r="E65" s="2">
        <f t="shared" si="1"/>
        <v>2128.6953939153755</v>
      </c>
      <c r="F65" s="2">
        <f t="shared" si="11"/>
        <v>64937.302135402104</v>
      </c>
      <c r="G65" s="2">
        <f t="shared" si="12"/>
        <v>200004.97213540212</v>
      </c>
      <c r="H65" s="5">
        <v>1.4576059800000001</v>
      </c>
      <c r="I65" s="3">
        <v>298.1431</v>
      </c>
      <c r="J65" s="2">
        <f t="shared" si="13"/>
        <v>670.8354885134089</v>
      </c>
      <c r="K65" s="1">
        <f t="shared" si="7"/>
        <v>60.030075555555563</v>
      </c>
      <c r="L65" s="1">
        <f t="shared" si="8"/>
        <v>28.861023171289823</v>
      </c>
      <c r="N65" s="2"/>
      <c r="O65" s="2"/>
      <c r="P65" s="2"/>
      <c r="Q65" s="2"/>
      <c r="R65" s="2"/>
      <c r="S65" s="2"/>
      <c r="T65" s="2"/>
    </row>
    <row r="66" spans="1:20" x14ac:dyDescent="0.3">
      <c r="B66" s="11">
        <v>46024</v>
      </c>
      <c r="C66" s="3">
        <v>137214.70334212139</v>
      </c>
      <c r="D66" s="2">
        <v>135067.67000000001</v>
      </c>
      <c r="E66" s="2">
        <f t="shared" si="1"/>
        <v>2165.3234868255095</v>
      </c>
      <c r="F66" s="2">
        <f t="shared" si="11"/>
        <v>67102.625622227613</v>
      </c>
      <c r="G66" s="2">
        <f t="shared" si="12"/>
        <v>202170.29562222763</v>
      </c>
      <c r="H66" s="5">
        <v>1.47338653</v>
      </c>
      <c r="I66" s="3">
        <v>301.37090000000001</v>
      </c>
      <c r="J66" s="2">
        <f t="shared" si="13"/>
        <v>670.83549082618003</v>
      </c>
      <c r="K66" s="1">
        <f t="shared" si="7"/>
        <v>60.030075555555563</v>
      </c>
      <c r="L66" s="1">
        <f t="shared" si="8"/>
        <v>29.823389165434495</v>
      </c>
      <c r="N66" s="2"/>
      <c r="O66" s="2">
        <v>1800.9</v>
      </c>
      <c r="P66" t="s">
        <v>23</v>
      </c>
      <c r="Q66" s="2"/>
      <c r="R66" s="2"/>
      <c r="S66" s="2"/>
      <c r="T66" s="2"/>
    </row>
    <row r="67" spans="1:20" s="5" customFormat="1" x14ac:dyDescent="0.3">
      <c r="B67" s="11">
        <v>46027</v>
      </c>
      <c r="C67" s="3">
        <v>137214.70334212139</v>
      </c>
      <c r="D67" s="2">
        <v>135067.67000000001</v>
      </c>
      <c r="E67" s="2">
        <f t="shared" si="1"/>
        <v>2219.5932741443685</v>
      </c>
      <c r="F67" s="2">
        <f t="shared" si="11"/>
        <v>69322.218896371982</v>
      </c>
      <c r="G67" s="2">
        <f t="shared" si="12"/>
        <v>204389.88889637199</v>
      </c>
      <c r="H67" s="5">
        <v>1.48956259</v>
      </c>
      <c r="I67" s="3">
        <v>304.67959999999999</v>
      </c>
      <c r="J67" s="2">
        <f t="shared" si="13"/>
        <v>670.83549045086056</v>
      </c>
      <c r="K67" s="1">
        <f t="shared" si="7"/>
        <v>60.030075555555563</v>
      </c>
      <c r="L67" s="1">
        <f t="shared" si="8"/>
        <v>30.809875065054218</v>
      </c>
      <c r="N67" s="2"/>
      <c r="O67" s="2">
        <v>12716.04</v>
      </c>
      <c r="P67" t="s">
        <v>24</v>
      </c>
      <c r="Q67" s="2"/>
      <c r="R67" s="2"/>
      <c r="S67" s="2"/>
      <c r="T67" s="2"/>
    </row>
    <row r="68" spans="1:20" x14ac:dyDescent="0.3">
      <c r="B68" s="11">
        <v>46028</v>
      </c>
      <c r="C68" s="3">
        <v>137214.70334212139</v>
      </c>
      <c r="D68" s="2">
        <v>135067.67000000001</v>
      </c>
      <c r="E68" s="2">
        <f t="shared" si="1"/>
        <v>2331.1529444025946</v>
      </c>
      <c r="F68" s="2">
        <f t="shared" si="11"/>
        <v>71653.371840774576</v>
      </c>
      <c r="G68" s="2">
        <f t="shared" si="12"/>
        <v>206721.04184077459</v>
      </c>
      <c r="H68" s="5">
        <v>1.5065516800000001</v>
      </c>
      <c r="I68" s="3">
        <v>308.15460000000002</v>
      </c>
      <c r="J68" s="2">
        <f t="shared" si="13"/>
        <v>670.83548920176622</v>
      </c>
      <c r="K68" s="1">
        <f t="shared" si="7"/>
        <v>60.030075555555563</v>
      </c>
      <c r="L68" s="1">
        <f t="shared" si="8"/>
        <v>31.84594304034426</v>
      </c>
      <c r="N68" s="2"/>
      <c r="O68" s="2">
        <v>13.63</v>
      </c>
      <c r="P68" t="s">
        <v>14</v>
      </c>
      <c r="R68" s="2"/>
      <c r="S68" s="2"/>
      <c r="T68" s="2"/>
    </row>
    <row r="69" spans="1:20" x14ac:dyDescent="0.3">
      <c r="B69" s="11">
        <v>46029</v>
      </c>
      <c r="C69" s="3">
        <v>137214.70334212139</v>
      </c>
      <c r="D69" s="2">
        <v>135067.67000000001</v>
      </c>
      <c r="E69" s="2">
        <f t="shared" si="1"/>
        <v>2500.0697328048991</v>
      </c>
      <c r="F69" s="2">
        <f t="shared" si="11"/>
        <v>74153.441573579476</v>
      </c>
      <c r="G69" s="2">
        <f t="shared" si="12"/>
        <v>209221.11157357949</v>
      </c>
      <c r="H69" s="5">
        <v>1.5247718100000001</v>
      </c>
      <c r="I69" s="3">
        <v>311.88139999999999</v>
      </c>
      <c r="J69" s="2">
        <f t="shared" si="13"/>
        <v>670.83548930323991</v>
      </c>
      <c r="K69" s="1">
        <f t="shared" si="7"/>
        <v>60.030075555555563</v>
      </c>
      <c r="L69" s="1">
        <f t="shared" si="8"/>
        <v>32.957085143813103</v>
      </c>
      <c r="N69" s="2"/>
      <c r="O69" s="2">
        <v>273.06</v>
      </c>
      <c r="R69" s="2"/>
      <c r="S69" s="2"/>
      <c r="T69" s="2"/>
    </row>
    <row r="70" spans="1:20" x14ac:dyDescent="0.3">
      <c r="B70" s="11">
        <v>46030</v>
      </c>
      <c r="C70" s="3">
        <v>137214.70334212139</v>
      </c>
      <c r="D70" s="2">
        <v>135067.67000000001</v>
      </c>
      <c r="E70" s="2">
        <f t="shared" si="1"/>
        <v>6138.7484460897103</v>
      </c>
      <c r="F70" s="2">
        <f t="shared" si="11"/>
        <v>80292.190019669186</v>
      </c>
      <c r="G70" s="2">
        <f t="shared" si="12"/>
        <v>215359.8600196692</v>
      </c>
      <c r="H70" s="5">
        <v>1.5695100799999999</v>
      </c>
      <c r="I70" s="3">
        <v>321.03230000000002</v>
      </c>
      <c r="J70" s="2">
        <f t="shared" si="13"/>
        <v>670.8354892005234</v>
      </c>
      <c r="K70" s="1">
        <f t="shared" si="7"/>
        <v>60.030075555555563</v>
      </c>
      <c r="L70" s="1">
        <f t="shared" si="8"/>
        <v>35.685417786519643</v>
      </c>
      <c r="N70" s="2"/>
      <c r="O70" s="2">
        <v>8520.41</v>
      </c>
      <c r="P70" t="s">
        <v>25</v>
      </c>
      <c r="R70" s="2"/>
      <c r="S70" s="2"/>
      <c r="T70" s="2"/>
    </row>
    <row r="71" spans="1:20" x14ac:dyDescent="0.3">
      <c r="B71" s="11">
        <v>46031</v>
      </c>
      <c r="C71" s="3">
        <v>137214.70334212139</v>
      </c>
      <c r="D71" s="2">
        <v>135067.67000000001</v>
      </c>
      <c r="E71" s="2">
        <f t="shared" si="1"/>
        <v>2922.896841153648</v>
      </c>
      <c r="F71" s="2">
        <f t="shared" si="11"/>
        <v>83215.086860822834</v>
      </c>
      <c r="G71" s="2">
        <f t="shared" si="12"/>
        <v>218282.75686082285</v>
      </c>
      <c r="H71" s="5">
        <v>1.5908117100000001</v>
      </c>
      <c r="I71" s="3">
        <v>325.38940000000002</v>
      </c>
      <c r="J71" s="2">
        <f t="shared" si="13"/>
        <v>670.83548775965915</v>
      </c>
      <c r="K71" s="1">
        <f t="shared" si="7"/>
        <v>60.030075555555563</v>
      </c>
      <c r="L71" s="1">
        <f t="shared" si="8"/>
        <v>36.984483049254592</v>
      </c>
      <c r="N71" s="2"/>
      <c r="O71" s="2">
        <v>100.26</v>
      </c>
      <c r="P71" t="s">
        <v>17</v>
      </c>
      <c r="R71" s="2"/>
      <c r="S71" s="2"/>
      <c r="T71" s="2"/>
    </row>
    <row r="72" spans="1:20" x14ac:dyDescent="0.3">
      <c r="B72" s="11">
        <v>46035</v>
      </c>
      <c r="C72" s="3">
        <v>137214.70334212139</v>
      </c>
      <c r="D72" s="2">
        <v>135067.67000000001</v>
      </c>
      <c r="E72" s="2">
        <f t="shared" si="1"/>
        <v>3344.5850674646499</v>
      </c>
      <c r="F72" s="2">
        <f t="shared" si="11"/>
        <v>86559.671928287484</v>
      </c>
      <c r="G72" s="2">
        <f t="shared" si="12"/>
        <v>221627.3419282875</v>
      </c>
      <c r="H72" s="5">
        <v>1.6151865400000001</v>
      </c>
      <c r="I72" s="3">
        <v>330.37509999999997</v>
      </c>
      <c r="J72" s="2">
        <f t="shared" si="13"/>
        <v>670.83548950355976</v>
      </c>
      <c r="K72" s="1">
        <f t="shared" si="7"/>
        <v>60.030075555555563</v>
      </c>
      <c r="L72" s="1">
        <f t="shared" si="8"/>
        <v>38.470965301461099</v>
      </c>
      <c r="N72" s="2"/>
      <c r="O72" s="2">
        <v>19.2</v>
      </c>
      <c r="P72" t="s">
        <v>17</v>
      </c>
      <c r="R72" s="2"/>
      <c r="S72" s="2"/>
      <c r="T72" s="2"/>
    </row>
    <row r="73" spans="1:20" ht="16.8" thickBot="1" x14ac:dyDescent="0.5">
      <c r="B73" s="11">
        <v>46036</v>
      </c>
      <c r="C73" s="3">
        <v>137214.70334212139</v>
      </c>
      <c r="D73" s="2">
        <v>135067.67000000001</v>
      </c>
      <c r="E73" s="2">
        <f t="shared" si="1"/>
        <v>4081.6983373773983</v>
      </c>
      <c r="F73" s="2">
        <f t="shared" si="11"/>
        <v>90641.370265664882</v>
      </c>
      <c r="G73" s="2">
        <f t="shared" si="12"/>
        <v>225709.04026566489</v>
      </c>
      <c r="H73" s="5">
        <v>1.6449333399999999</v>
      </c>
      <c r="I73" s="3">
        <v>336.45960000000002</v>
      </c>
      <c r="J73" s="2">
        <f t="shared" si="13"/>
        <v>670.83548891357202</v>
      </c>
      <c r="K73" s="1">
        <f t="shared" si="7"/>
        <v>60.030075555555563</v>
      </c>
      <c r="L73" s="1">
        <f t="shared" si="8"/>
        <v>40.285053451406618</v>
      </c>
      <c r="N73" s="27" t="s">
        <v>29</v>
      </c>
      <c r="O73" s="23">
        <f>SUM(O66:O72)</f>
        <v>23443.5</v>
      </c>
      <c r="R73" s="2"/>
      <c r="S73" s="2"/>
      <c r="T73" s="2"/>
    </row>
    <row r="74" spans="1:20" ht="15.6" thickTop="1" thickBot="1" x14ac:dyDescent="0.35">
      <c r="A74" s="12">
        <f>+C77-C75</f>
        <v>0</v>
      </c>
      <c r="B74" s="11" t="s">
        <v>26</v>
      </c>
      <c r="C74" s="3">
        <f>+G74/H77</f>
        <v>12807.824249592355</v>
      </c>
      <c r="D74" s="2">
        <f>+O67</f>
        <v>12716.04</v>
      </c>
      <c r="E74" s="2"/>
      <c r="F74" s="2">
        <f>+O70</f>
        <v>8520.41</v>
      </c>
      <c r="G74" s="2">
        <f>+D74+F74</f>
        <v>21236.45</v>
      </c>
      <c r="H74" s="5"/>
      <c r="J74" s="2"/>
      <c r="K74" s="23">
        <f>+K73*N74</f>
        <v>1800.9022666666669</v>
      </c>
      <c r="L74" s="23">
        <f>+L73*N74</f>
        <v>1208.5516035421986</v>
      </c>
      <c r="M74" t="s">
        <v>21</v>
      </c>
      <c r="N74" s="26">
        <f>+B73-B56</f>
        <v>30</v>
      </c>
      <c r="O74" s="2"/>
      <c r="P74" s="2"/>
      <c r="Q74" s="2"/>
      <c r="R74" s="2"/>
      <c r="S74" s="2"/>
      <c r="T74" s="2"/>
    </row>
    <row r="75" spans="1:20" ht="15" thickTop="1" x14ac:dyDescent="0.3">
      <c r="A75" s="12"/>
      <c r="B75" s="11"/>
      <c r="C75" s="3">
        <f>+C73-C74</f>
        <v>124406.87909252904</v>
      </c>
      <c r="D75" s="2">
        <f>+D73-D74</f>
        <v>122351.63</v>
      </c>
      <c r="E75" s="2"/>
      <c r="F75" s="2"/>
      <c r="G75" s="2"/>
      <c r="H75" s="5"/>
      <c r="J75" s="2"/>
      <c r="K75" s="24">
        <v>1800.9</v>
      </c>
      <c r="L75" s="24">
        <f>+O68+O69+O71</f>
        <v>386.95</v>
      </c>
      <c r="M75" t="s">
        <v>22</v>
      </c>
      <c r="N75" s="2"/>
      <c r="O75" s="2"/>
      <c r="P75" s="2"/>
      <c r="Q75" s="2"/>
      <c r="R75" s="2"/>
      <c r="S75" s="2"/>
      <c r="T75" s="2"/>
    </row>
    <row r="76" spans="1:20" x14ac:dyDescent="0.3">
      <c r="B76" s="11"/>
      <c r="C76" s="3"/>
      <c r="D76" s="2"/>
      <c r="E76" s="2"/>
      <c r="F76" s="2"/>
      <c r="G76" s="2"/>
      <c r="H76" s="5"/>
      <c r="J76" s="25" t="s">
        <v>28</v>
      </c>
      <c r="K76" s="24">
        <f>+K75-K74</f>
        <v>-2.266666666855599E-3</v>
      </c>
      <c r="L76" s="24">
        <f>+L75-L74</f>
        <v>-821.60160354219852</v>
      </c>
      <c r="N76" s="2"/>
      <c r="O76" s="2"/>
      <c r="P76" s="2"/>
      <c r="Q76" s="2"/>
      <c r="R76" s="2"/>
      <c r="S76" s="2"/>
      <c r="T76" s="2"/>
    </row>
    <row r="77" spans="1:20" x14ac:dyDescent="0.3">
      <c r="A77" s="28" t="s">
        <v>31</v>
      </c>
      <c r="B77" s="18">
        <v>46037</v>
      </c>
      <c r="C77" s="16">
        <f>+G77/H77</f>
        <v>124406.87909252902</v>
      </c>
      <c r="D77" s="13">
        <f>+D73-D74</f>
        <v>122351.63</v>
      </c>
      <c r="E77" s="13">
        <v>0</v>
      </c>
      <c r="F77" s="13">
        <f>(C73*H77-$D$56)-F74</f>
        <v>83925.440642082394</v>
      </c>
      <c r="G77" s="13">
        <f>+D77+F77</f>
        <v>206277.0706420824</v>
      </c>
      <c r="H77" s="14">
        <v>1.6580841200000001</v>
      </c>
      <c r="I77" s="16">
        <v>339.14949999999999</v>
      </c>
      <c r="J77" s="13">
        <f t="shared" si="13"/>
        <v>608.21870780314407</v>
      </c>
      <c r="K77" s="30">
        <f t="shared" ref="K77:K97" si="14">+D77*$K$8/360</f>
        <v>54.378502222222224</v>
      </c>
      <c r="L77" s="30">
        <f t="shared" ref="L77:L97" si="15">+F77*$L$8/360</f>
        <v>37.300195840925511</v>
      </c>
      <c r="M77" s="31">
        <f>+J73-J77</f>
        <v>62.616781110427951</v>
      </c>
      <c r="N77" s="13" t="s">
        <v>35</v>
      </c>
      <c r="O77" s="2"/>
      <c r="P77" s="2"/>
      <c r="Q77" s="2"/>
      <c r="R77" s="2"/>
      <c r="S77" s="2"/>
      <c r="T77" s="2"/>
    </row>
    <row r="78" spans="1:20" x14ac:dyDescent="0.3">
      <c r="A78" s="12"/>
      <c r="B78" s="11">
        <v>46038</v>
      </c>
      <c r="C78" s="3">
        <v>124406.87909252902</v>
      </c>
      <c r="D78" s="2">
        <v>122351.63</v>
      </c>
      <c r="E78" s="2">
        <f t="shared" si="1"/>
        <v>1577.1109825311578</v>
      </c>
      <c r="F78" s="2">
        <f t="shared" si="11"/>
        <v>85502.551624613552</v>
      </c>
      <c r="G78" s="2">
        <f t="shared" si="12"/>
        <v>207854.18162461356</v>
      </c>
      <c r="H78" s="5">
        <v>1.6707611600000001</v>
      </c>
      <c r="I78" s="3">
        <v>341.74250000000001</v>
      </c>
      <c r="J78" s="2">
        <f t="shared" si="13"/>
        <v>608.2187074320974</v>
      </c>
      <c r="K78" s="1">
        <f t="shared" si="14"/>
        <v>54.378502222222224</v>
      </c>
      <c r="L78" s="1">
        <f t="shared" si="15"/>
        <v>38.001134055383801</v>
      </c>
      <c r="M78" s="13">
        <f>+M35+M56+M77</f>
        <v>185.95801837565557</v>
      </c>
      <c r="N78" s="13" t="s">
        <v>36</v>
      </c>
      <c r="O78" s="2"/>
      <c r="P78" s="2"/>
      <c r="Q78" s="2"/>
      <c r="R78" s="2"/>
      <c r="S78" s="2"/>
      <c r="T78" s="2"/>
    </row>
    <row r="79" spans="1:20" x14ac:dyDescent="0.3">
      <c r="A79" s="12"/>
      <c r="B79" s="11">
        <v>46042</v>
      </c>
      <c r="C79" s="3">
        <v>124406.87909252902</v>
      </c>
      <c r="D79" s="2">
        <v>122351.63</v>
      </c>
      <c r="E79" s="2">
        <f t="shared" si="1"/>
        <v>1681.480889677041</v>
      </c>
      <c r="F79" s="2">
        <f t="shared" si="11"/>
        <v>87184.032514290593</v>
      </c>
      <c r="G79" s="2">
        <f t="shared" si="12"/>
        <v>209535.6625142906</v>
      </c>
      <c r="H79" s="5">
        <v>1.6842771400000001</v>
      </c>
      <c r="I79" s="3">
        <v>344.50709999999998</v>
      </c>
      <c r="J79" s="2">
        <f t="shared" si="13"/>
        <v>608.2187058388364</v>
      </c>
      <c r="K79" s="1">
        <f t="shared" si="14"/>
        <v>54.378502222222224</v>
      </c>
      <c r="L79" s="1">
        <f t="shared" si="15"/>
        <v>38.748458895240262</v>
      </c>
      <c r="M79" s="13">
        <f>+$J$9-M78</f>
        <v>608.21868097634592</v>
      </c>
      <c r="N79" s="13" t="s">
        <v>37</v>
      </c>
      <c r="O79" s="2"/>
      <c r="P79" s="2"/>
      <c r="Q79" s="2"/>
      <c r="R79" s="2"/>
      <c r="S79" s="2"/>
      <c r="T79" s="2"/>
    </row>
    <row r="80" spans="1:20" x14ac:dyDescent="0.3">
      <c r="A80" s="12"/>
      <c r="B80" s="11">
        <v>46043</v>
      </c>
      <c r="C80" s="3">
        <v>124406.87909252902</v>
      </c>
      <c r="D80" s="2">
        <v>122351.63</v>
      </c>
      <c r="E80" s="2">
        <f t="shared" si="1"/>
        <v>1676.2508244799683</v>
      </c>
      <c r="F80" s="2">
        <f t="shared" si="11"/>
        <v>88860.283338770561</v>
      </c>
      <c r="G80" s="2">
        <f t="shared" si="12"/>
        <v>211211.91333877057</v>
      </c>
      <c r="H80">
        <v>1.69775108</v>
      </c>
      <c r="I80" s="3">
        <v>347.26310000000001</v>
      </c>
      <c r="J80" s="2">
        <f t="shared" si="13"/>
        <v>608.21870604383412</v>
      </c>
      <c r="K80" s="1">
        <f t="shared" si="14"/>
        <v>54.378502222222224</v>
      </c>
      <c r="L80" s="1">
        <f t="shared" si="15"/>
        <v>39.49345926167581</v>
      </c>
      <c r="N80" s="2"/>
      <c r="O80" s="2"/>
      <c r="P80" s="2"/>
      <c r="Q80" s="2"/>
      <c r="R80" s="2"/>
      <c r="S80" s="2"/>
      <c r="T80" s="2"/>
    </row>
    <row r="81" spans="1:20" hidden="1" x14ac:dyDescent="0.3">
      <c r="A81" s="12"/>
      <c r="B81" s="11">
        <v>46044</v>
      </c>
      <c r="C81" s="3">
        <v>124406.87909252902</v>
      </c>
      <c r="D81" s="2">
        <v>122351.63</v>
      </c>
      <c r="E81" s="2">
        <f t="shared" si="1"/>
        <v>1620.3560577725002</v>
      </c>
      <c r="F81" s="2">
        <f t="shared" si="11"/>
        <v>90480.639396543062</v>
      </c>
      <c r="G81" s="2">
        <f t="shared" si="12"/>
        <v>212832.26939654307</v>
      </c>
      <c r="H81">
        <v>1.7107757299999999</v>
      </c>
      <c r="I81" s="3">
        <v>349.92720000000003</v>
      </c>
      <c r="J81" s="2">
        <f t="shared" si="13"/>
        <v>608.21870776705282</v>
      </c>
      <c r="K81" s="1">
        <f t="shared" si="14"/>
        <v>54.378502222222224</v>
      </c>
      <c r="L81" s="1">
        <f t="shared" si="15"/>
        <v>40.213617509574696</v>
      </c>
      <c r="N81" s="2"/>
      <c r="O81" s="2"/>
      <c r="P81" s="2"/>
      <c r="Q81" s="2"/>
      <c r="R81" s="2"/>
      <c r="S81" s="2"/>
      <c r="T81" s="2"/>
    </row>
    <row r="82" spans="1:20" hidden="1" x14ac:dyDescent="0.3">
      <c r="A82" s="12"/>
      <c r="B82" s="11">
        <v>46045</v>
      </c>
      <c r="C82" s="3">
        <v>124406.87909252902</v>
      </c>
      <c r="D82" s="2">
        <v>122351.63</v>
      </c>
      <c r="E82" s="2">
        <f t="shared" si="1"/>
        <v>1690.3000933359435</v>
      </c>
      <c r="F82" s="2">
        <f t="shared" si="11"/>
        <v>92170.939489879005</v>
      </c>
      <c r="G82" s="2">
        <f t="shared" si="12"/>
        <v>214522.56948987901</v>
      </c>
      <c r="H82">
        <v>1.7243626000000001</v>
      </c>
      <c r="I82" s="3">
        <v>352.7063</v>
      </c>
      <c r="J82" s="2">
        <f t="shared" si="13"/>
        <v>608.21870630005481</v>
      </c>
      <c r="K82" s="1">
        <f t="shared" si="14"/>
        <v>54.378502222222224</v>
      </c>
      <c r="L82" s="1">
        <f t="shared" si="15"/>
        <v>40.964861995501778</v>
      </c>
      <c r="N82" s="2"/>
      <c r="O82" s="2"/>
      <c r="P82" s="2"/>
      <c r="Q82" s="2"/>
      <c r="R82" s="2"/>
      <c r="S82" s="2"/>
      <c r="T82" s="2"/>
    </row>
    <row r="83" spans="1:20" hidden="1" x14ac:dyDescent="0.3">
      <c r="A83" s="12"/>
      <c r="B83" s="11">
        <v>46048</v>
      </c>
      <c r="C83" s="3">
        <v>124406.87909252902</v>
      </c>
      <c r="D83" s="2">
        <v>122351.63</v>
      </c>
      <c r="E83" s="2">
        <f t="shared" si="1"/>
        <v>1731.2946481344406</v>
      </c>
      <c r="F83" s="2">
        <f t="shared" si="11"/>
        <v>93902.234138013446</v>
      </c>
      <c r="G83" s="2">
        <f t="shared" si="12"/>
        <v>216253.86413801345</v>
      </c>
      <c r="H83">
        <v>1.73827899</v>
      </c>
      <c r="I83" s="3">
        <v>355.55279999999999</v>
      </c>
      <c r="J83" s="2">
        <f t="shared" si="13"/>
        <v>608.2187065831389</v>
      </c>
      <c r="K83" s="1">
        <f t="shared" si="14"/>
        <v>54.378502222222224</v>
      </c>
      <c r="L83" s="1">
        <f t="shared" si="15"/>
        <v>41.734326283561529</v>
      </c>
      <c r="N83" s="2"/>
      <c r="O83" s="2"/>
      <c r="P83" s="2"/>
      <c r="Q83" s="2"/>
      <c r="R83" s="2"/>
      <c r="S83" s="2"/>
      <c r="T83" s="2"/>
    </row>
    <row r="84" spans="1:20" hidden="1" x14ac:dyDescent="0.3">
      <c r="A84" s="12"/>
      <c r="B84" s="11">
        <v>46049</v>
      </c>
      <c r="C84" s="3">
        <v>124406.87909252902</v>
      </c>
      <c r="D84" s="2">
        <v>122351.63</v>
      </c>
      <c r="E84" s="2">
        <f t="shared" si="1"/>
        <v>2050.8523781155236</v>
      </c>
      <c r="F84" s="2">
        <f t="shared" si="11"/>
        <v>95953.086516128969</v>
      </c>
      <c r="G84" s="2">
        <f t="shared" si="12"/>
        <v>218304.71651612897</v>
      </c>
      <c r="H84">
        <v>1.75476403</v>
      </c>
      <c r="I84" s="3">
        <v>358.92469999999997</v>
      </c>
      <c r="J84" s="2">
        <f t="shared" si="13"/>
        <v>608.21870580689767</v>
      </c>
      <c r="K84" s="1">
        <f t="shared" si="14"/>
        <v>54.378502222222224</v>
      </c>
      <c r="L84" s="1">
        <f t="shared" si="15"/>
        <v>42.645816229390654</v>
      </c>
      <c r="M84" s="2"/>
      <c r="N84" s="2"/>
      <c r="O84" s="2"/>
      <c r="P84" s="2"/>
      <c r="Q84" s="2"/>
      <c r="R84" s="2"/>
      <c r="S84" s="2"/>
      <c r="T84" s="2"/>
    </row>
    <row r="85" spans="1:20" hidden="1" x14ac:dyDescent="0.3">
      <c r="A85" s="12"/>
      <c r="B85" s="11">
        <v>46050</v>
      </c>
      <c r="C85" s="3">
        <v>124406.87909252902</v>
      </c>
      <c r="D85" s="2">
        <v>122351.63</v>
      </c>
      <c r="E85" s="2">
        <f t="shared" ref="E85:E157" si="16">+F85-F84</f>
        <v>1560.6295591889939</v>
      </c>
      <c r="F85" s="2">
        <f t="shared" ref="F85:F157" si="17">+G85-D85</f>
        <v>97513.716075317963</v>
      </c>
      <c r="G85" s="2">
        <f t="shared" ref="G85:G157" si="18">+C85*H85</f>
        <v>219865.34607531797</v>
      </c>
      <c r="H85">
        <v>1.7673085900000001</v>
      </c>
      <c r="I85" s="3">
        <v>361.49059999999997</v>
      </c>
      <c r="J85" s="2">
        <f t="shared" si="13"/>
        <v>608.21870907657899</v>
      </c>
      <c r="K85" s="1">
        <f t="shared" si="14"/>
        <v>54.378502222222224</v>
      </c>
      <c r="L85" s="1">
        <f t="shared" si="15"/>
        <v>43.339429366807984</v>
      </c>
      <c r="M85" s="2"/>
      <c r="N85" s="2"/>
      <c r="O85" s="2"/>
      <c r="P85" s="2"/>
      <c r="Q85" s="2"/>
      <c r="R85" s="2"/>
      <c r="S85" s="2"/>
      <c r="T85" s="2"/>
    </row>
    <row r="86" spans="1:20" hidden="1" x14ac:dyDescent="0.3">
      <c r="A86" s="12"/>
      <c r="B86" s="11">
        <v>46051</v>
      </c>
      <c r="C86" s="3">
        <v>124406.87909252902</v>
      </c>
      <c r="D86" s="2">
        <v>122351.63</v>
      </c>
      <c r="E86" s="2">
        <f t="shared" si="16"/>
        <v>1320.8676455266832</v>
      </c>
      <c r="F86" s="2">
        <f t="shared" si="17"/>
        <v>98834.583720844646</v>
      </c>
      <c r="G86" s="2">
        <f t="shared" si="18"/>
        <v>221186.21372084465</v>
      </c>
      <c r="H86">
        <v>1.77792591</v>
      </c>
      <c r="I86" s="3">
        <v>363.66230000000002</v>
      </c>
      <c r="J86" s="2">
        <f t="shared" si="13"/>
        <v>608.21870653307928</v>
      </c>
      <c r="K86" s="1">
        <f t="shared" si="14"/>
        <v>54.378502222222224</v>
      </c>
      <c r="L86" s="1">
        <f t="shared" si="15"/>
        <v>43.926481653708734</v>
      </c>
      <c r="M86" s="2"/>
      <c r="N86" s="2"/>
      <c r="O86" s="2"/>
      <c r="P86" s="2"/>
      <c r="Q86" s="2"/>
      <c r="R86" s="2"/>
      <c r="S86" s="2"/>
      <c r="T86" s="2"/>
    </row>
    <row r="87" spans="1:20" hidden="1" x14ac:dyDescent="0.3">
      <c r="A87" s="12"/>
      <c r="B87" s="11">
        <v>46052</v>
      </c>
      <c r="C87" s="3">
        <v>124406.87909252902</v>
      </c>
      <c r="D87" s="2">
        <v>122351.63</v>
      </c>
      <c r="E87" s="2">
        <f t="shared" si="16"/>
        <v>2216.7141174592543</v>
      </c>
      <c r="F87" s="2">
        <f t="shared" si="17"/>
        <v>101051.2978383039</v>
      </c>
      <c r="G87" s="2">
        <f t="shared" si="18"/>
        <v>223402.92783830391</v>
      </c>
      <c r="H87">
        <v>1.7957441700000001</v>
      </c>
      <c r="I87" s="3">
        <v>367.30689999999998</v>
      </c>
      <c r="J87" s="2">
        <f t="shared" si="13"/>
        <v>608.21870713102294</v>
      </c>
      <c r="K87" s="1">
        <f t="shared" si="14"/>
        <v>54.378502222222224</v>
      </c>
      <c r="L87" s="1">
        <f t="shared" si="15"/>
        <v>44.911687928135066</v>
      </c>
      <c r="M87" s="2"/>
      <c r="N87" s="2"/>
      <c r="O87" s="2"/>
      <c r="P87" s="2"/>
      <c r="Q87" s="2"/>
      <c r="R87" s="2"/>
      <c r="S87" s="2"/>
      <c r="T87" s="2"/>
    </row>
    <row r="88" spans="1:20" x14ac:dyDescent="0.3">
      <c r="A88" s="12"/>
      <c r="B88" s="11">
        <v>46055</v>
      </c>
      <c r="C88" s="3">
        <v>124406.87909252902</v>
      </c>
      <c r="D88" s="2">
        <v>122351.63</v>
      </c>
      <c r="E88" s="2">
        <f t="shared" si="16"/>
        <v>1792.7242768927536</v>
      </c>
      <c r="F88" s="2">
        <f t="shared" si="17"/>
        <v>102844.02211519665</v>
      </c>
      <c r="G88" s="2">
        <f t="shared" si="18"/>
        <v>225195.65211519666</v>
      </c>
      <c r="H88">
        <v>1.81015434</v>
      </c>
      <c r="I88" s="3">
        <v>370.25439999999998</v>
      </c>
      <c r="J88" s="2">
        <f t="shared" si="13"/>
        <v>608.21870615230148</v>
      </c>
      <c r="K88" s="1">
        <f t="shared" si="14"/>
        <v>54.378502222222224</v>
      </c>
      <c r="L88" s="1">
        <f t="shared" si="15"/>
        <v>45.708454273420742</v>
      </c>
      <c r="M88" s="2"/>
      <c r="N88" s="2"/>
      <c r="O88" s="2"/>
      <c r="P88" s="2"/>
      <c r="Q88" s="2"/>
      <c r="R88" s="2"/>
      <c r="S88" s="2"/>
      <c r="T88" s="2"/>
    </row>
    <row r="89" spans="1:20" x14ac:dyDescent="0.3">
      <c r="A89" s="12"/>
      <c r="B89" s="11">
        <v>46056</v>
      </c>
      <c r="C89" s="3">
        <v>124406.87909252902</v>
      </c>
      <c r="D89" s="2">
        <v>122351.63</v>
      </c>
      <c r="E89" s="2">
        <f t="shared" si="16"/>
        <v>1125.9954660473741</v>
      </c>
      <c r="F89" s="2">
        <f t="shared" si="17"/>
        <v>103970.01758124403</v>
      </c>
      <c r="G89" s="2">
        <f t="shared" si="18"/>
        <v>226321.64758124403</v>
      </c>
      <c r="H89">
        <v>1.81920525</v>
      </c>
      <c r="I89" s="3">
        <v>372.10570000000001</v>
      </c>
      <c r="J89" s="2">
        <f t="shared" si="13"/>
        <v>608.21870662353206</v>
      </c>
      <c r="K89" s="1">
        <f t="shared" si="14"/>
        <v>54.378502222222224</v>
      </c>
      <c r="L89" s="1">
        <f t="shared" si="15"/>
        <v>46.208896702775121</v>
      </c>
      <c r="M89" s="2"/>
      <c r="N89" s="2"/>
      <c r="O89" s="2"/>
      <c r="P89" s="2"/>
      <c r="Q89" s="2"/>
      <c r="R89" s="2"/>
      <c r="S89" s="2"/>
      <c r="T89" s="2"/>
    </row>
    <row r="90" spans="1:20" x14ac:dyDescent="0.3">
      <c r="A90" s="12"/>
      <c r="B90" s="11">
        <v>46057</v>
      </c>
      <c r="C90" s="3">
        <v>124406.87909252902</v>
      </c>
      <c r="D90" s="2">
        <v>122351.63</v>
      </c>
      <c r="E90" s="2">
        <f t="shared" si="16"/>
        <v>1810.5455623227754</v>
      </c>
      <c r="F90" s="2">
        <f t="shared" si="17"/>
        <v>105780.5631435668</v>
      </c>
      <c r="G90" s="2">
        <f t="shared" si="18"/>
        <v>228132.19314356681</v>
      </c>
      <c r="H90">
        <v>1.8337586699999999</v>
      </c>
      <c r="I90" s="3">
        <v>375.08249999999998</v>
      </c>
      <c r="J90" s="2">
        <f t="shared" si="13"/>
        <v>608.21870693398603</v>
      </c>
      <c r="K90" s="1">
        <f t="shared" si="14"/>
        <v>54.378502222222224</v>
      </c>
      <c r="L90" s="1">
        <f t="shared" si="15"/>
        <v>47.013583619363025</v>
      </c>
      <c r="M90" s="2"/>
      <c r="N90" s="2"/>
      <c r="O90" s="2"/>
      <c r="P90" s="2"/>
      <c r="Q90" s="2"/>
      <c r="R90" s="2"/>
      <c r="S90" s="2"/>
      <c r="T90" s="2"/>
    </row>
    <row r="91" spans="1:20" x14ac:dyDescent="0.3">
      <c r="A91" s="12"/>
      <c r="B91" s="11">
        <v>46058</v>
      </c>
      <c r="C91" s="3">
        <v>124406.87909252902</v>
      </c>
      <c r="D91" s="2">
        <v>122351.63</v>
      </c>
      <c r="E91" s="2">
        <f t="shared" si="16"/>
        <v>2053.1638579290884</v>
      </c>
      <c r="F91" s="2">
        <f t="shared" si="17"/>
        <v>107833.72700149589</v>
      </c>
      <c r="G91" s="2">
        <f t="shared" si="18"/>
        <v>230185.3570014959</v>
      </c>
      <c r="H91">
        <v>1.8502622900000001</v>
      </c>
      <c r="I91" s="3">
        <v>378.45819999999998</v>
      </c>
      <c r="J91" s="2">
        <f t="shared" si="13"/>
        <v>608.21870685189515</v>
      </c>
      <c r="K91" s="1">
        <f t="shared" si="14"/>
        <v>54.378502222222224</v>
      </c>
      <c r="L91" s="1">
        <f t="shared" si="15"/>
        <v>47.92610088955373</v>
      </c>
      <c r="M91" s="2"/>
      <c r="N91" s="2"/>
      <c r="O91" s="2">
        <v>1631.36</v>
      </c>
      <c r="P91" t="s">
        <v>23</v>
      </c>
      <c r="Q91" s="2"/>
      <c r="R91" s="2"/>
      <c r="S91" s="2"/>
      <c r="T91" s="2"/>
    </row>
    <row r="92" spans="1:20" x14ac:dyDescent="0.3">
      <c r="A92" s="12"/>
      <c r="B92" s="11">
        <v>46059</v>
      </c>
      <c r="C92" s="3">
        <v>124406.87909252902</v>
      </c>
      <c r="D92" s="2">
        <v>122351.63</v>
      </c>
      <c r="E92" s="2">
        <f t="shared" si="16"/>
        <v>1611.2930166306032</v>
      </c>
      <c r="F92" s="2">
        <f t="shared" si="17"/>
        <v>109445.0200181265</v>
      </c>
      <c r="G92" s="2">
        <f t="shared" si="18"/>
        <v>231796.6500181265</v>
      </c>
      <c r="H92">
        <v>1.86321409</v>
      </c>
      <c r="I92" s="3">
        <v>381.10739999999998</v>
      </c>
      <c r="J92" s="2">
        <f t="shared" ref="J92:J129" si="19">+G92/I92</f>
        <v>608.21870690027674</v>
      </c>
      <c r="K92" s="1">
        <f t="shared" si="14"/>
        <v>54.378502222222224</v>
      </c>
      <c r="L92" s="1">
        <f t="shared" si="15"/>
        <v>48.642231119167334</v>
      </c>
      <c r="M92" s="2"/>
      <c r="N92" s="2"/>
      <c r="O92" s="2">
        <v>12885.58</v>
      </c>
      <c r="P92" t="s">
        <v>24</v>
      </c>
      <c r="Q92" s="2"/>
      <c r="R92" s="2"/>
      <c r="S92" s="2"/>
      <c r="T92" s="2"/>
    </row>
    <row r="93" spans="1:20" x14ac:dyDescent="0.3">
      <c r="A93" s="12"/>
      <c r="B93" s="11">
        <v>46062</v>
      </c>
      <c r="C93" s="3">
        <v>124406.87909252902</v>
      </c>
      <c r="D93" s="2">
        <v>122351.63</v>
      </c>
      <c r="E93" s="2">
        <f t="shared" si="16"/>
        <v>927.16839188165613</v>
      </c>
      <c r="F93" s="2">
        <f t="shared" si="17"/>
        <v>110372.18841000815</v>
      </c>
      <c r="G93" s="2">
        <f t="shared" si="18"/>
        <v>232723.81841000816</v>
      </c>
      <c r="H93">
        <v>1.8706668</v>
      </c>
      <c r="I93" s="3">
        <v>382.6318</v>
      </c>
      <c r="J93" s="2">
        <f t="shared" si="19"/>
        <v>608.21870636473011</v>
      </c>
      <c r="K93" s="1">
        <f t="shared" si="14"/>
        <v>54.378502222222224</v>
      </c>
      <c r="L93" s="1">
        <f t="shared" si="15"/>
        <v>49.054305960003624</v>
      </c>
      <c r="M93" s="2"/>
      <c r="N93" s="2"/>
      <c r="O93" s="2">
        <v>15.68</v>
      </c>
      <c r="P93" t="s">
        <v>14</v>
      </c>
      <c r="Q93" s="2"/>
      <c r="R93" s="2"/>
      <c r="S93" s="2"/>
      <c r="T93" s="2"/>
    </row>
    <row r="94" spans="1:20" x14ac:dyDescent="0.3">
      <c r="A94" s="12"/>
      <c r="B94" s="11">
        <v>46063</v>
      </c>
      <c r="C94" s="3">
        <v>124406.87909252902</v>
      </c>
      <c r="D94" s="2">
        <v>122351.63</v>
      </c>
      <c r="E94" s="2">
        <f t="shared" si="16"/>
        <v>1605.8191139505652</v>
      </c>
      <c r="F94" s="2">
        <f t="shared" si="17"/>
        <v>111978.00752395872</v>
      </c>
      <c r="G94" s="2">
        <f t="shared" si="18"/>
        <v>234329.63752395872</v>
      </c>
      <c r="H94">
        <v>1.8835746</v>
      </c>
      <c r="I94" s="3">
        <v>385.27199999999999</v>
      </c>
      <c r="J94" s="2">
        <f t="shared" si="19"/>
        <v>608.21870658640842</v>
      </c>
      <c r="K94" s="1">
        <f t="shared" si="14"/>
        <v>54.378502222222224</v>
      </c>
      <c r="L94" s="1">
        <f t="shared" si="15"/>
        <v>49.768003343981654</v>
      </c>
      <c r="M94" s="2"/>
      <c r="N94" s="2"/>
      <c r="O94" s="2">
        <v>313.04000000000002</v>
      </c>
      <c r="Q94" s="2"/>
      <c r="R94" s="2"/>
      <c r="S94" s="2"/>
      <c r="T94" s="2"/>
    </row>
    <row r="95" spans="1:20" x14ac:dyDescent="0.3">
      <c r="A95" s="12"/>
      <c r="B95" s="11">
        <v>46064</v>
      </c>
      <c r="C95" s="3">
        <v>124406.87909252902</v>
      </c>
      <c r="D95" s="2">
        <v>122351.63</v>
      </c>
      <c r="E95" s="2">
        <f t="shared" si="16"/>
        <v>2108.9379499637871</v>
      </c>
      <c r="F95" s="2">
        <f t="shared" si="17"/>
        <v>114086.9454739225</v>
      </c>
      <c r="G95" s="2">
        <f t="shared" si="18"/>
        <v>236438.57547392251</v>
      </c>
      <c r="H95">
        <v>1.90052654</v>
      </c>
      <c r="I95" s="3">
        <v>388.73939999999999</v>
      </c>
      <c r="J95" s="2">
        <f t="shared" si="19"/>
        <v>608.21870763272909</v>
      </c>
      <c r="K95" s="1">
        <f t="shared" si="14"/>
        <v>54.378502222222224</v>
      </c>
      <c r="L95" s="1">
        <f t="shared" si="15"/>
        <v>50.705309099521116</v>
      </c>
      <c r="N95" s="2"/>
      <c r="O95" s="2">
        <v>12264.45</v>
      </c>
      <c r="P95" t="s">
        <v>25</v>
      </c>
      <c r="Q95" s="2"/>
      <c r="R95" s="2"/>
      <c r="S95" s="2"/>
      <c r="T95" s="2"/>
    </row>
    <row r="96" spans="1:20" x14ac:dyDescent="0.3">
      <c r="A96" s="12"/>
      <c r="B96" s="11">
        <v>46065</v>
      </c>
      <c r="C96" s="3">
        <v>124406.87909252902</v>
      </c>
      <c r="D96" s="2">
        <v>122351.63</v>
      </c>
      <c r="E96" s="2">
        <f t="shared" si="16"/>
        <v>945.77966099392506</v>
      </c>
      <c r="F96" s="2">
        <f t="shared" si="17"/>
        <v>115032.72513491643</v>
      </c>
      <c r="G96" s="2">
        <f t="shared" si="18"/>
        <v>237384.35513491643</v>
      </c>
      <c r="H96">
        <v>1.90812885</v>
      </c>
      <c r="I96" s="3">
        <v>390.2944</v>
      </c>
      <c r="J96" s="2">
        <f t="shared" si="19"/>
        <v>608.21870653259805</v>
      </c>
      <c r="K96" s="1">
        <f t="shared" si="14"/>
        <v>54.378502222222224</v>
      </c>
      <c r="L96" s="1">
        <f t="shared" si="15"/>
        <v>51.125655615518411</v>
      </c>
      <c r="N96" s="2"/>
      <c r="O96" s="2">
        <v>106.14</v>
      </c>
      <c r="P96" t="s">
        <v>17</v>
      </c>
      <c r="Q96" s="2"/>
      <c r="R96" s="2"/>
      <c r="S96" s="2"/>
      <c r="T96" s="2"/>
    </row>
    <row r="97" spans="1:20" ht="16.2" x14ac:dyDescent="0.45">
      <c r="A97" s="12"/>
      <c r="B97" s="11">
        <v>46066</v>
      </c>
      <c r="C97" s="3">
        <v>124406.87909252902</v>
      </c>
      <c r="D97" s="2">
        <v>122351.63</v>
      </c>
      <c r="E97" s="2">
        <f t="shared" si="16"/>
        <v>1780.3781382116431</v>
      </c>
      <c r="F97" s="2">
        <f t="shared" si="17"/>
        <v>116813.10327312807</v>
      </c>
      <c r="G97" s="2">
        <f t="shared" si="18"/>
        <v>239164.73327312808</v>
      </c>
      <c r="H97">
        <v>1.9224397799999999</v>
      </c>
      <c r="I97" s="3">
        <v>393.22160000000002</v>
      </c>
      <c r="J97" s="2">
        <f t="shared" si="19"/>
        <v>608.21870739839335</v>
      </c>
      <c r="K97" s="1">
        <f t="shared" si="14"/>
        <v>54.378502222222224</v>
      </c>
      <c r="L97" s="1">
        <f t="shared" si="15"/>
        <v>51.916934788056928</v>
      </c>
      <c r="N97" s="27" t="s">
        <v>29</v>
      </c>
      <c r="O97" s="2">
        <v>25.83</v>
      </c>
      <c r="P97" t="s">
        <v>17</v>
      </c>
      <c r="Q97" s="2"/>
      <c r="R97" s="2"/>
      <c r="S97" s="2"/>
      <c r="T97" s="2"/>
    </row>
    <row r="98" spans="1:20" ht="15" thickBot="1" x14ac:dyDescent="0.35">
      <c r="A98" s="12">
        <f>+C101-C99</f>
        <v>0</v>
      </c>
      <c r="B98" s="11" t="s">
        <v>26</v>
      </c>
      <c r="C98" s="3">
        <f>+G98/H101</f>
        <v>12978.520914097759</v>
      </c>
      <c r="D98" s="2">
        <f>+O92</f>
        <v>12885.58</v>
      </c>
      <c r="E98" s="2"/>
      <c r="F98" s="2">
        <f>+O95</f>
        <v>12264.45</v>
      </c>
      <c r="G98" s="2">
        <f>+D98+F98</f>
        <v>25150.03</v>
      </c>
      <c r="I98" s="3"/>
      <c r="J98" s="2"/>
      <c r="K98" s="23">
        <f>+K97*N98</f>
        <v>1576.9765644444444</v>
      </c>
      <c r="L98" s="23">
        <f>+L97*N98</f>
        <v>1505.5911088536509</v>
      </c>
      <c r="M98" t="s">
        <v>21</v>
      </c>
      <c r="N98" s="26">
        <f>+B97-B77</f>
        <v>29</v>
      </c>
      <c r="O98" s="23">
        <f>SUM(O91:O97)</f>
        <v>27242.080000000002</v>
      </c>
      <c r="Q98" s="2"/>
      <c r="R98" s="2"/>
      <c r="S98" s="2"/>
      <c r="T98" s="2"/>
    </row>
    <row r="99" spans="1:20" ht="15" thickTop="1" x14ac:dyDescent="0.3">
      <c r="A99" s="12"/>
      <c r="B99" s="11"/>
      <c r="C99" s="3">
        <f>+C97-C98</f>
        <v>111428.35817843127</v>
      </c>
      <c r="D99" s="2"/>
      <c r="E99" s="2"/>
      <c r="F99" s="2"/>
      <c r="G99" s="2"/>
      <c r="I99" s="3"/>
      <c r="J99" s="2"/>
      <c r="K99" s="24">
        <f>+O91</f>
        <v>1631.36</v>
      </c>
      <c r="L99" s="24">
        <f>+O93+O94+O96+O97</f>
        <v>460.69</v>
      </c>
      <c r="M99" t="s">
        <v>22</v>
      </c>
      <c r="N99" s="2"/>
      <c r="O99" s="2"/>
      <c r="P99" s="2"/>
      <c r="Q99" s="2"/>
      <c r="R99" s="2"/>
      <c r="S99" s="2"/>
      <c r="T99" s="2"/>
    </row>
    <row r="100" spans="1:20" x14ac:dyDescent="0.3">
      <c r="A100" s="12"/>
      <c r="B100" s="11"/>
      <c r="C100" s="3"/>
      <c r="D100" s="2"/>
      <c r="E100" s="2"/>
      <c r="F100" s="2"/>
      <c r="G100" s="2"/>
      <c r="I100" s="3"/>
      <c r="J100" s="25" t="s">
        <v>28</v>
      </c>
      <c r="K100" s="24">
        <f>+K99-K98</f>
        <v>54.383435555555479</v>
      </c>
      <c r="L100" s="24">
        <f>+L99-L98</f>
        <v>-1044.9011088536508</v>
      </c>
      <c r="N100" s="2"/>
      <c r="O100" s="2"/>
      <c r="P100" s="2"/>
      <c r="Q100" s="2"/>
      <c r="R100" s="2"/>
      <c r="S100" s="2"/>
      <c r="T100" s="2"/>
    </row>
    <row r="101" spans="1:20" x14ac:dyDescent="0.3">
      <c r="A101" s="28" t="s">
        <v>32</v>
      </c>
      <c r="B101" s="18">
        <v>46071</v>
      </c>
      <c r="C101" s="16">
        <f>+G101/H101</f>
        <v>111428.35817843127</v>
      </c>
      <c r="D101" s="13">
        <f>+D97-D98</f>
        <v>109466.05</v>
      </c>
      <c r="E101" s="13"/>
      <c r="F101" s="13">
        <f>(C97*H101-$D$77)-F98</f>
        <v>106461.98753116351</v>
      </c>
      <c r="G101" s="13">
        <f>+D101+F101</f>
        <v>215928.03753116351</v>
      </c>
      <c r="H101" s="14">
        <v>1.93781943</v>
      </c>
      <c r="I101" s="16">
        <v>396.36739999999998</v>
      </c>
      <c r="J101" s="13">
        <f t="shared" si="19"/>
        <v>544.76739896157835</v>
      </c>
      <c r="K101" s="30">
        <f t="shared" ref="K101:K118" si="20">+D101*$K$8/360</f>
        <v>48.651577777777774</v>
      </c>
      <c r="L101" s="30">
        <f t="shared" ref="L101:L118" si="21">+F101*$L$8/360</f>
        <v>47.316438902739336</v>
      </c>
      <c r="M101" s="31">
        <f>+J97-J101</f>
        <v>63.451308436814998</v>
      </c>
      <c r="N101" s="13" t="s">
        <v>35</v>
      </c>
      <c r="O101" s="2"/>
      <c r="P101" s="2"/>
      <c r="Q101" s="2"/>
      <c r="R101" s="2"/>
      <c r="S101" s="2"/>
      <c r="T101" s="2"/>
    </row>
    <row r="102" spans="1:20" x14ac:dyDescent="0.3">
      <c r="A102" s="12"/>
      <c r="B102" s="11">
        <v>46072</v>
      </c>
      <c r="C102" s="3">
        <v>111428.35817843127</v>
      </c>
      <c r="D102" s="2">
        <v>109466.05</v>
      </c>
      <c r="E102" s="2">
        <f t="shared" si="16"/>
        <v>1295.5663777048176</v>
      </c>
      <c r="F102" s="2">
        <f t="shared" si="17"/>
        <v>107757.55390886833</v>
      </c>
      <c r="G102" s="2">
        <f t="shared" si="18"/>
        <v>217223.60390886833</v>
      </c>
      <c r="H102">
        <v>1.94944633</v>
      </c>
      <c r="I102" s="3">
        <v>398.74560000000002</v>
      </c>
      <c r="J102" s="2">
        <f t="shared" si="19"/>
        <v>544.76740033963586</v>
      </c>
      <c r="K102" s="1">
        <f t="shared" si="20"/>
        <v>48.651577777777774</v>
      </c>
      <c r="L102" s="1">
        <f t="shared" si="21"/>
        <v>47.892246181719266</v>
      </c>
      <c r="M102" s="13">
        <f>+M35+M56+M77+M101</f>
        <v>249.40932681247057</v>
      </c>
      <c r="N102" s="13" t="s">
        <v>36</v>
      </c>
      <c r="O102" s="2"/>
      <c r="P102" s="2"/>
      <c r="Q102" s="2"/>
      <c r="R102" s="2"/>
      <c r="S102" s="2"/>
      <c r="T102" s="2"/>
    </row>
    <row r="103" spans="1:20" x14ac:dyDescent="0.3">
      <c r="A103" s="12"/>
      <c r="B103" s="11">
        <v>46073</v>
      </c>
      <c r="C103" s="3">
        <v>111428.35817843127</v>
      </c>
      <c r="D103" s="2">
        <v>109466.05</v>
      </c>
      <c r="E103" s="2">
        <f t="shared" si="16"/>
        <v>1955.0060871062451</v>
      </c>
      <c r="F103" s="2">
        <f t="shared" si="17"/>
        <v>109712.55999597457</v>
      </c>
      <c r="G103" s="2">
        <f t="shared" si="18"/>
        <v>219178.60999597458</v>
      </c>
      <c r="H103">
        <v>1.9669912899999999</v>
      </c>
      <c r="I103" s="3">
        <v>402.33429999999998</v>
      </c>
      <c r="J103" s="2">
        <f t="shared" si="19"/>
        <v>544.76739864330375</v>
      </c>
      <c r="K103" s="1">
        <f t="shared" si="20"/>
        <v>48.651577777777774</v>
      </c>
      <c r="L103" s="1">
        <f t="shared" si="21"/>
        <v>48.761137775988701</v>
      </c>
      <c r="M103" s="13">
        <f>+$J$9-M102</f>
        <v>544.76737253953092</v>
      </c>
      <c r="N103" s="13" t="s">
        <v>37</v>
      </c>
      <c r="O103" s="2"/>
      <c r="P103" s="2"/>
      <c r="Q103" s="2"/>
      <c r="R103" s="2"/>
      <c r="S103" s="2"/>
      <c r="T103" s="2"/>
    </row>
    <row r="104" spans="1:20" x14ac:dyDescent="0.3">
      <c r="A104" s="12"/>
      <c r="B104" s="11">
        <v>46076</v>
      </c>
      <c r="C104" s="3">
        <v>111428.35817843127</v>
      </c>
      <c r="D104" s="2">
        <v>109466.05</v>
      </c>
      <c r="E104" s="2">
        <f t="shared" si="16"/>
        <v>1643.8357111914956</v>
      </c>
      <c r="F104" s="2">
        <f t="shared" si="17"/>
        <v>111356.39570716607</v>
      </c>
      <c r="G104" s="2">
        <f t="shared" si="18"/>
        <v>220822.44570716607</v>
      </c>
      <c r="H104">
        <v>1.9817436900000001</v>
      </c>
      <c r="I104" s="3">
        <v>405.35180000000003</v>
      </c>
      <c r="J104" s="2">
        <f t="shared" si="19"/>
        <v>544.76739885493555</v>
      </c>
      <c r="K104" s="1">
        <f t="shared" si="20"/>
        <v>48.651577777777774</v>
      </c>
      <c r="L104" s="1">
        <f t="shared" si="21"/>
        <v>49.491731425407146</v>
      </c>
      <c r="N104" s="2"/>
      <c r="O104" s="2"/>
      <c r="P104" s="2"/>
      <c r="Q104" s="2"/>
      <c r="R104" s="2"/>
      <c r="S104" s="2"/>
      <c r="T104" s="2"/>
    </row>
    <row r="105" spans="1:20" x14ac:dyDescent="0.3">
      <c r="A105" s="12"/>
      <c r="B105" s="11">
        <v>46077</v>
      </c>
      <c r="C105" s="3">
        <v>111428.35817843127</v>
      </c>
      <c r="D105" s="2">
        <v>109466.05</v>
      </c>
      <c r="E105" s="2">
        <f t="shared" si="16"/>
        <v>1104.134686921403</v>
      </c>
      <c r="F105" s="2">
        <f t="shared" si="17"/>
        <v>112460.53039408747</v>
      </c>
      <c r="G105" s="2">
        <f t="shared" si="18"/>
        <v>221926.58039408748</v>
      </c>
      <c r="H105">
        <v>1.99165261</v>
      </c>
      <c r="I105" s="3">
        <v>407.37860000000001</v>
      </c>
      <c r="J105" s="2">
        <f t="shared" si="19"/>
        <v>544.76739915667508</v>
      </c>
      <c r="K105" s="1">
        <f t="shared" si="20"/>
        <v>48.651577777777774</v>
      </c>
      <c r="L105" s="1">
        <f t="shared" si="21"/>
        <v>49.982457952927767</v>
      </c>
      <c r="N105" s="2"/>
      <c r="O105" s="2"/>
      <c r="P105" s="2"/>
      <c r="Q105" s="2"/>
      <c r="R105" s="2"/>
      <c r="S105" s="2"/>
      <c r="T105" s="2"/>
    </row>
    <row r="106" spans="1:20" x14ac:dyDescent="0.3">
      <c r="A106" s="12"/>
      <c r="B106" s="11">
        <v>46078</v>
      </c>
      <c r="C106" s="3">
        <v>111428.35817843127</v>
      </c>
      <c r="D106" s="2">
        <v>109466.05</v>
      </c>
      <c r="E106" s="2">
        <f t="shared" si="16"/>
        <v>2019.5075065214187</v>
      </c>
      <c r="F106" s="2">
        <f t="shared" si="17"/>
        <v>114480.03790060889</v>
      </c>
      <c r="G106" s="2">
        <f t="shared" si="18"/>
        <v>223946.08790060889</v>
      </c>
      <c r="H106">
        <v>2.0097764300000001</v>
      </c>
      <c r="I106" s="3">
        <v>411.08569999999997</v>
      </c>
      <c r="J106" s="2">
        <f t="shared" si="19"/>
        <v>544.76739984049289</v>
      </c>
      <c r="K106" s="1">
        <f t="shared" si="20"/>
        <v>48.651577777777774</v>
      </c>
      <c r="L106" s="1">
        <f t="shared" si="21"/>
        <v>50.880016844715058</v>
      </c>
      <c r="N106" s="2"/>
      <c r="O106" s="2"/>
      <c r="P106" s="2"/>
      <c r="Q106" s="2"/>
      <c r="R106" s="2"/>
      <c r="S106" s="2"/>
      <c r="T106" s="2"/>
    </row>
    <row r="107" spans="1:20" x14ac:dyDescent="0.3">
      <c r="A107" s="12"/>
      <c r="B107" s="11">
        <v>46079</v>
      </c>
      <c r="C107" s="3">
        <v>111428.35817843127</v>
      </c>
      <c r="D107" s="2">
        <v>109466.05</v>
      </c>
      <c r="E107" s="2">
        <f t="shared" si="16"/>
        <v>1612.4028856329678</v>
      </c>
      <c r="F107" s="2">
        <f t="shared" si="17"/>
        <v>116092.44078624186</v>
      </c>
      <c r="G107" s="2">
        <f t="shared" si="18"/>
        <v>225558.49078624186</v>
      </c>
      <c r="H107">
        <v>2.0242467400000002</v>
      </c>
      <c r="I107" s="3">
        <v>414.0455</v>
      </c>
      <c r="J107" s="2">
        <f t="shared" si="19"/>
        <v>544.7674006509958</v>
      </c>
      <c r="K107" s="1">
        <f t="shared" si="20"/>
        <v>48.651577777777774</v>
      </c>
      <c r="L107" s="1">
        <f t="shared" si="21"/>
        <v>51.596640349440825</v>
      </c>
      <c r="N107" s="2"/>
      <c r="O107" s="2"/>
      <c r="P107" s="2"/>
      <c r="Q107" s="2"/>
      <c r="R107" s="2"/>
      <c r="S107" s="2"/>
      <c r="T107" s="2"/>
    </row>
    <row r="108" spans="1:20" x14ac:dyDescent="0.3">
      <c r="A108" s="12"/>
      <c r="B108" s="11">
        <v>46080</v>
      </c>
      <c r="C108" s="3">
        <v>111428.35817843127</v>
      </c>
      <c r="D108" s="2">
        <v>109466.05</v>
      </c>
      <c r="E108" s="2">
        <f t="shared" si="16"/>
        <v>1804.48754659525</v>
      </c>
      <c r="F108" s="2">
        <f t="shared" si="17"/>
        <v>117896.92833283711</v>
      </c>
      <c r="G108" s="2">
        <f t="shared" si="18"/>
        <v>227362.97833283711</v>
      </c>
      <c r="H108">
        <v>2.0404408900000002</v>
      </c>
      <c r="I108" s="3">
        <v>417.35789999999997</v>
      </c>
      <c r="J108" s="2">
        <f t="shared" si="19"/>
        <v>544.7674006717906</v>
      </c>
      <c r="K108" s="1">
        <f t="shared" si="20"/>
        <v>48.651577777777774</v>
      </c>
      <c r="L108" s="1">
        <f t="shared" si="21"/>
        <v>52.398634814594274</v>
      </c>
      <c r="N108" s="2"/>
      <c r="O108" s="2"/>
      <c r="P108" s="2"/>
      <c r="Q108" s="2"/>
      <c r="R108" s="2"/>
      <c r="S108" s="2"/>
      <c r="T108" s="2"/>
    </row>
    <row r="109" spans="1:20" x14ac:dyDescent="0.3">
      <c r="A109" s="12"/>
      <c r="B109" s="11">
        <v>46083</v>
      </c>
      <c r="C109" s="3">
        <v>111428.35817843127</v>
      </c>
      <c r="D109" s="2">
        <v>109466.05</v>
      </c>
      <c r="E109" s="2">
        <f t="shared" si="16"/>
        <v>1432.4104301001062</v>
      </c>
      <c r="F109" s="2">
        <f t="shared" si="17"/>
        <v>119329.33876293722</v>
      </c>
      <c r="G109" s="2">
        <f t="shared" si="18"/>
        <v>228795.38876293722</v>
      </c>
      <c r="H109">
        <v>2.0532958799999999</v>
      </c>
      <c r="I109" s="3">
        <v>419.9873</v>
      </c>
      <c r="J109" s="2">
        <f t="shared" si="19"/>
        <v>544.76739835451508</v>
      </c>
      <c r="K109" s="1">
        <f t="shared" si="20"/>
        <v>48.651577777777774</v>
      </c>
      <c r="L109" s="1">
        <f t="shared" si="21"/>
        <v>53.035261672416539</v>
      </c>
      <c r="N109" s="2"/>
      <c r="O109" s="2"/>
      <c r="P109" s="2"/>
      <c r="Q109" s="2"/>
      <c r="R109" s="2"/>
      <c r="S109" s="2"/>
      <c r="T109" s="2"/>
    </row>
    <row r="110" spans="1:20" x14ac:dyDescent="0.3">
      <c r="A110" s="12"/>
      <c r="B110" s="11">
        <v>46084</v>
      </c>
      <c r="C110" s="3">
        <v>111428.35817843127</v>
      </c>
      <c r="D110" s="2">
        <v>109466.05</v>
      </c>
      <c r="E110" s="2">
        <f t="shared" si="16"/>
        <v>1029.5568010761926</v>
      </c>
      <c r="F110" s="2">
        <f t="shared" si="17"/>
        <v>120358.89556401341</v>
      </c>
      <c r="G110" s="2">
        <f t="shared" si="18"/>
        <v>229824.94556401341</v>
      </c>
      <c r="H110">
        <v>2.06253551</v>
      </c>
      <c r="I110" s="3">
        <v>421.87720000000002</v>
      </c>
      <c r="J110" s="2">
        <f t="shared" si="19"/>
        <v>544.76740047581006</v>
      </c>
      <c r="K110" s="1">
        <f t="shared" si="20"/>
        <v>48.651577777777774</v>
      </c>
      <c r="L110" s="1">
        <f t="shared" si="21"/>
        <v>53.49284247289485</v>
      </c>
      <c r="N110" s="2"/>
      <c r="O110" s="2"/>
      <c r="P110" s="2"/>
      <c r="Q110" s="2"/>
      <c r="R110" s="2"/>
      <c r="S110" s="2"/>
      <c r="T110" s="2"/>
    </row>
    <row r="111" spans="1:20" x14ac:dyDescent="0.3">
      <c r="A111" s="12"/>
      <c r="B111" s="11">
        <v>46085</v>
      </c>
      <c r="C111" s="3">
        <v>111428.35817843127</v>
      </c>
      <c r="D111" s="2">
        <v>109466.05</v>
      </c>
      <c r="E111" s="2">
        <f t="shared" si="16"/>
        <v>2068.4267843289126</v>
      </c>
      <c r="F111" s="2">
        <f t="shared" si="17"/>
        <v>122427.32234834232</v>
      </c>
      <c r="G111" s="2">
        <f t="shared" si="18"/>
        <v>231893.37234834232</v>
      </c>
      <c r="H111">
        <v>2.08109835</v>
      </c>
      <c r="I111" s="3">
        <v>425.67410000000001</v>
      </c>
      <c r="J111" s="2">
        <f t="shared" si="19"/>
        <v>544.7673991636849</v>
      </c>
      <c r="K111" s="1">
        <f t="shared" si="20"/>
        <v>48.651577777777774</v>
      </c>
      <c r="L111" s="1">
        <f t="shared" si="21"/>
        <v>54.41214326592992</v>
      </c>
      <c r="N111" s="2"/>
      <c r="O111" s="2"/>
      <c r="P111" s="2"/>
      <c r="Q111" s="2"/>
      <c r="R111" s="2"/>
      <c r="S111" s="2"/>
      <c r="T111" s="2"/>
    </row>
    <row r="112" spans="1:20" x14ac:dyDescent="0.3">
      <c r="A112" s="12"/>
      <c r="B112" s="11">
        <v>46086</v>
      </c>
      <c r="C112" s="3">
        <v>111428.35817843127</v>
      </c>
      <c r="D112" s="2">
        <v>109466.05</v>
      </c>
      <c r="E112" s="2">
        <f t="shared" si="16"/>
        <v>1229.050333573774</v>
      </c>
      <c r="F112" s="2">
        <f t="shared" si="17"/>
        <v>123656.37268191609</v>
      </c>
      <c r="G112" s="2">
        <f t="shared" si="18"/>
        <v>233122.4226819161</v>
      </c>
      <c r="H112">
        <v>2.0921283100000001</v>
      </c>
      <c r="I112" s="3">
        <v>427.93020000000001</v>
      </c>
      <c r="J112" s="2">
        <f t="shared" si="19"/>
        <v>544.76740057587915</v>
      </c>
      <c r="K112" s="1">
        <f t="shared" si="20"/>
        <v>48.651577777777774</v>
      </c>
      <c r="L112" s="1">
        <f t="shared" si="21"/>
        <v>54.958387858629379</v>
      </c>
      <c r="O112" s="2">
        <v>1459.55</v>
      </c>
      <c r="P112" t="s">
        <v>23</v>
      </c>
    </row>
    <row r="113" spans="1:16" x14ac:dyDescent="0.3">
      <c r="A113" s="12"/>
      <c r="B113" s="11">
        <v>46087</v>
      </c>
      <c r="C113" s="3">
        <v>111428.35817843127</v>
      </c>
      <c r="D113" s="2">
        <v>109466.05</v>
      </c>
      <c r="E113" s="2">
        <f t="shared" si="16"/>
        <v>1678.4821305999067</v>
      </c>
      <c r="F113" s="2">
        <f t="shared" si="17"/>
        <v>125334.854812516</v>
      </c>
      <c r="G113" s="2">
        <f t="shared" si="18"/>
        <v>234800.904812516</v>
      </c>
      <c r="H113">
        <v>2.1071916399999999</v>
      </c>
      <c r="I113" s="3">
        <v>431.01130000000001</v>
      </c>
      <c r="J113" s="2">
        <f t="shared" si="19"/>
        <v>544.76739893482147</v>
      </c>
      <c r="K113" s="1">
        <f t="shared" si="20"/>
        <v>48.651577777777774</v>
      </c>
      <c r="L113" s="1">
        <f t="shared" si="21"/>
        <v>55.70437991667378</v>
      </c>
      <c r="O113" s="2">
        <v>13057.39</v>
      </c>
      <c r="P113" t="s">
        <v>24</v>
      </c>
    </row>
    <row r="114" spans="1:16" x14ac:dyDescent="0.3">
      <c r="A114" s="12"/>
      <c r="B114" s="11">
        <v>46090</v>
      </c>
      <c r="C114" s="3">
        <v>111428.35817843127</v>
      </c>
      <c r="D114" s="2">
        <v>109466.05</v>
      </c>
      <c r="E114" s="2">
        <f t="shared" si="16"/>
        <v>1174.0281245888327</v>
      </c>
      <c r="F114" s="2">
        <f t="shared" si="17"/>
        <v>126508.88293710483</v>
      </c>
      <c r="G114" s="2">
        <f t="shared" si="18"/>
        <v>235974.93293710484</v>
      </c>
      <c r="H114">
        <v>2.1177278099999999</v>
      </c>
      <c r="I114" s="3">
        <v>433.16640000000001</v>
      </c>
      <c r="J114" s="2">
        <f t="shared" si="19"/>
        <v>544.76739871122231</v>
      </c>
      <c r="K114" s="1">
        <f t="shared" si="20"/>
        <v>48.651577777777774</v>
      </c>
      <c r="L114" s="1">
        <f t="shared" si="21"/>
        <v>56.226170194268818</v>
      </c>
      <c r="O114" s="2">
        <v>14.72</v>
      </c>
      <c r="P114" t="s">
        <v>14</v>
      </c>
    </row>
    <row r="115" spans="1:16" x14ac:dyDescent="0.3">
      <c r="A115" s="12"/>
      <c r="B115" s="11">
        <v>46091</v>
      </c>
      <c r="C115" s="3">
        <v>111428.35817843127</v>
      </c>
      <c r="D115" s="2">
        <v>109466.05</v>
      </c>
      <c r="E115" s="2">
        <f t="shared" si="16"/>
        <v>1675.4323364365555</v>
      </c>
      <c r="F115" s="2">
        <f t="shared" si="17"/>
        <v>128184.31527354139</v>
      </c>
      <c r="G115" s="2">
        <f t="shared" si="18"/>
        <v>237650.36527354139</v>
      </c>
      <c r="H115">
        <v>2.1327637699999999</v>
      </c>
      <c r="I115" s="3">
        <v>436.24189999999999</v>
      </c>
      <c r="J115" s="2">
        <f t="shared" si="19"/>
        <v>544.767399173581</v>
      </c>
      <c r="K115" s="1">
        <f t="shared" si="20"/>
        <v>48.651577777777774</v>
      </c>
      <c r="L115" s="1">
        <f t="shared" si="21"/>
        <v>56.970806788240616</v>
      </c>
      <c r="N115" s="2"/>
      <c r="O115" s="2">
        <v>293.70999999999998</v>
      </c>
    </row>
    <row r="116" spans="1:16" x14ac:dyDescent="0.3">
      <c r="A116" s="12"/>
      <c r="B116" s="11">
        <v>46092</v>
      </c>
      <c r="C116" s="3">
        <v>111428.35817843127</v>
      </c>
      <c r="D116" s="2">
        <v>109466.05</v>
      </c>
      <c r="E116" s="2">
        <f t="shared" si="16"/>
        <v>1069.4325533339288</v>
      </c>
      <c r="F116" s="2">
        <f t="shared" si="17"/>
        <v>129253.74782687532</v>
      </c>
      <c r="G116" s="2">
        <f t="shared" si="18"/>
        <v>238719.79782687532</v>
      </c>
      <c r="H116">
        <v>2.1423612599999999</v>
      </c>
      <c r="I116" s="3">
        <v>438.20499999999998</v>
      </c>
      <c r="J116" s="2">
        <f t="shared" si="19"/>
        <v>544.76739842511006</v>
      </c>
      <c r="K116" s="1">
        <f t="shared" si="20"/>
        <v>48.651577777777774</v>
      </c>
      <c r="L116" s="1">
        <f t="shared" si="21"/>
        <v>57.44611014527792</v>
      </c>
      <c r="O116" s="2">
        <v>15670.97</v>
      </c>
      <c r="P116" t="s">
        <v>25</v>
      </c>
    </row>
    <row r="117" spans="1:16" x14ac:dyDescent="0.3">
      <c r="A117" s="12"/>
      <c r="B117" s="11">
        <v>46093</v>
      </c>
      <c r="C117" s="3">
        <v>111428.35817843127</v>
      </c>
      <c r="D117" s="2">
        <v>109466.05</v>
      </c>
      <c r="E117" s="2">
        <f t="shared" si="16"/>
        <v>1503.9396360656538</v>
      </c>
      <c r="F117" s="2">
        <f t="shared" si="17"/>
        <v>130757.68746294097</v>
      </c>
      <c r="G117" s="2">
        <f t="shared" si="18"/>
        <v>240223.73746294098</v>
      </c>
      <c r="H117">
        <v>2.1558581800000001</v>
      </c>
      <c r="I117" s="3">
        <v>440.96570000000003</v>
      </c>
      <c r="J117" s="2">
        <f t="shared" si="19"/>
        <v>544.76739905834165</v>
      </c>
      <c r="K117" s="1">
        <f t="shared" si="20"/>
        <v>48.651577777777774</v>
      </c>
      <c r="L117" s="1">
        <f t="shared" si="21"/>
        <v>58.114527761307102</v>
      </c>
      <c r="O117" s="2">
        <v>107.04</v>
      </c>
      <c r="P117" t="s">
        <v>17</v>
      </c>
    </row>
    <row r="118" spans="1:16" ht="16.2" x14ac:dyDescent="0.45">
      <c r="A118" s="12"/>
      <c r="B118" s="11">
        <v>46094</v>
      </c>
      <c r="C118" s="3">
        <v>111428.35817843127</v>
      </c>
      <c r="D118" s="2">
        <v>109466.05</v>
      </c>
      <c r="E118" s="2">
        <f t="shared" si="16"/>
        <v>1249.152009389145</v>
      </c>
      <c r="F118" s="2">
        <f t="shared" si="17"/>
        <v>132006.83947233012</v>
      </c>
      <c r="G118" s="2">
        <f t="shared" si="18"/>
        <v>241472.88947233011</v>
      </c>
      <c r="H118">
        <v>2.1670685399999998</v>
      </c>
      <c r="I118" s="3">
        <v>443.25869999999998</v>
      </c>
      <c r="J118" s="2">
        <f t="shared" si="19"/>
        <v>544.76739987806241</v>
      </c>
      <c r="K118" s="1">
        <f t="shared" si="20"/>
        <v>48.651577777777774</v>
      </c>
      <c r="L118" s="1">
        <f t="shared" si="21"/>
        <v>58.669706432146725</v>
      </c>
      <c r="N118" s="27" t="s">
        <v>29</v>
      </c>
      <c r="O118" s="2">
        <v>31.57</v>
      </c>
      <c r="P118" t="s">
        <v>17</v>
      </c>
    </row>
    <row r="119" spans="1:16" ht="15" thickBot="1" x14ac:dyDescent="0.35">
      <c r="A119" s="12">
        <f>+C122-C120</f>
        <v>0</v>
      </c>
      <c r="B119" s="11" t="s">
        <v>26</v>
      </c>
      <c r="C119" s="3">
        <f>+G119/H122</f>
        <v>13151.570722289607</v>
      </c>
      <c r="D119" s="2">
        <f>+O113</f>
        <v>13057.39</v>
      </c>
      <c r="E119" s="2"/>
      <c r="F119" s="2">
        <f>+O116</f>
        <v>15670.97</v>
      </c>
      <c r="G119" s="2">
        <f>+D119+F119</f>
        <v>28728.36</v>
      </c>
      <c r="I119" s="3"/>
      <c r="J119" s="2"/>
      <c r="K119" s="23">
        <f>+K118*N119</f>
        <v>1118.9862888888888</v>
      </c>
      <c r="L119" s="23">
        <f>+L118*N119</f>
        <v>1349.4032479393748</v>
      </c>
      <c r="M119" t="s">
        <v>21</v>
      </c>
      <c r="N119" s="26">
        <f>+B118-B101</f>
        <v>23</v>
      </c>
      <c r="O119" s="23">
        <f>SUM(O112:O118)</f>
        <v>30634.949999999997</v>
      </c>
    </row>
    <row r="120" spans="1:16" ht="15" thickTop="1" x14ac:dyDescent="0.3">
      <c r="A120" s="12"/>
      <c r="B120" s="11"/>
      <c r="C120" s="3">
        <f>+C118-C119</f>
        <v>98276.787456141668</v>
      </c>
      <c r="D120" s="2"/>
      <c r="E120" s="2"/>
      <c r="F120" s="2"/>
      <c r="G120" s="2"/>
      <c r="I120" s="3"/>
      <c r="J120" s="2"/>
      <c r="K120" s="24">
        <f>+O112</f>
        <v>1459.55</v>
      </c>
      <c r="L120" s="24">
        <f>+O114+O115+O117+O118</f>
        <v>447.04</v>
      </c>
      <c r="M120" t="s">
        <v>22</v>
      </c>
    </row>
    <row r="121" spans="1:16" x14ac:dyDescent="0.3">
      <c r="A121" s="12"/>
      <c r="B121" s="11"/>
      <c r="C121" s="3"/>
      <c r="D121" s="2"/>
      <c r="E121" s="2"/>
      <c r="F121" s="2"/>
      <c r="G121" s="2"/>
      <c r="I121" s="3"/>
      <c r="J121" s="25" t="s">
        <v>28</v>
      </c>
      <c r="K121" s="24">
        <f>+K120-K119</f>
        <v>340.56371111111116</v>
      </c>
      <c r="L121" s="24">
        <f>+L120-L119</f>
        <v>-902.36324793937479</v>
      </c>
    </row>
    <row r="122" spans="1:16" x14ac:dyDescent="0.3">
      <c r="A122" s="28" t="s">
        <v>33</v>
      </c>
      <c r="B122" s="18">
        <v>46097</v>
      </c>
      <c r="C122" s="16">
        <f>+G122/H122</f>
        <v>98276.787456141654</v>
      </c>
      <c r="D122" s="13">
        <f>+D118-D119</f>
        <v>96408.66</v>
      </c>
      <c r="E122" s="13">
        <v>0</v>
      </c>
      <c r="F122" s="13">
        <f>(C118*H122-$D$101)-F119</f>
        <v>118267.66948956207</v>
      </c>
      <c r="G122" s="13">
        <f>+D122+F122</f>
        <v>214676.32948956208</v>
      </c>
      <c r="H122" s="14">
        <v>2.1844052399999998</v>
      </c>
      <c r="I122" s="16">
        <v>446.8048</v>
      </c>
      <c r="J122" s="13">
        <f t="shared" si="19"/>
        <v>480.47006095181177</v>
      </c>
      <c r="K122" s="30">
        <f t="shared" ref="K122:K140" si="22">+D122*$K$8/360</f>
        <v>42.848293333333338</v>
      </c>
      <c r="L122" s="30">
        <f t="shared" ref="L122:L140" si="23">+F122*$L$8/360</f>
        <v>52.563408662027591</v>
      </c>
      <c r="M122" s="31">
        <f>+J118-J122</f>
        <v>64.297338926250632</v>
      </c>
      <c r="N122" s="13" t="s">
        <v>35</v>
      </c>
    </row>
    <row r="123" spans="1:16" x14ac:dyDescent="0.3">
      <c r="A123" s="12"/>
      <c r="B123" s="11">
        <v>46098</v>
      </c>
      <c r="C123" s="3">
        <v>98276.787456141654</v>
      </c>
      <c r="D123" s="2">
        <v>96408.66</v>
      </c>
      <c r="E123" s="2">
        <f t="shared" si="16"/>
        <v>751.35847144210129</v>
      </c>
      <c r="F123" s="2">
        <f t="shared" si="17"/>
        <v>119019.02796100418</v>
      </c>
      <c r="G123" s="2">
        <f t="shared" si="18"/>
        <v>215427.68796100418</v>
      </c>
      <c r="H123">
        <v>2.1920505700000001</v>
      </c>
      <c r="I123" s="3">
        <v>448.36860000000001</v>
      </c>
      <c r="J123" s="2">
        <f t="shared" si="19"/>
        <v>480.47005959160424</v>
      </c>
      <c r="K123" s="1">
        <f t="shared" si="22"/>
        <v>42.848293333333338</v>
      </c>
      <c r="L123" s="1">
        <f t="shared" si="23"/>
        <v>52.897345760446306</v>
      </c>
      <c r="M123" s="13">
        <f>+M35+M56+M77+M101+M122</f>
        <v>313.7066657387212</v>
      </c>
      <c r="N123" s="13" t="s">
        <v>36</v>
      </c>
    </row>
    <row r="124" spans="1:16" x14ac:dyDescent="0.3">
      <c r="A124" s="12"/>
      <c r="B124" s="11">
        <v>46099</v>
      </c>
      <c r="C124" s="3">
        <v>98276.787456141654</v>
      </c>
      <c r="D124" s="2">
        <v>96408.66</v>
      </c>
      <c r="E124" s="2">
        <f t="shared" si="16"/>
        <v>1508.0032512813632</v>
      </c>
      <c r="F124" s="2">
        <f t="shared" si="17"/>
        <v>120527.03121228554</v>
      </c>
      <c r="G124" s="2">
        <f t="shared" si="18"/>
        <v>216935.69121228554</v>
      </c>
      <c r="H124">
        <v>2.2073950199999999</v>
      </c>
      <c r="I124" s="3">
        <v>451.50720000000001</v>
      </c>
      <c r="J124" s="2">
        <f t="shared" si="19"/>
        <v>480.47005941939693</v>
      </c>
      <c r="K124" s="1">
        <f t="shared" si="22"/>
        <v>42.848293333333338</v>
      </c>
      <c r="L124" s="1">
        <f t="shared" si="23"/>
        <v>53.567569427682457</v>
      </c>
      <c r="M124" s="13">
        <f>+$J$9-M123</f>
        <v>480.47003361328029</v>
      </c>
      <c r="N124" s="13" t="s">
        <v>37</v>
      </c>
    </row>
    <row r="125" spans="1:16" hidden="1" x14ac:dyDescent="0.3">
      <c r="A125" s="12"/>
      <c r="B125" s="11">
        <v>46101</v>
      </c>
      <c r="C125" s="3">
        <v>98276.787456141654</v>
      </c>
      <c r="D125" s="2">
        <v>96408.66</v>
      </c>
      <c r="E125" s="2">
        <f t="shared" si="16"/>
        <v>1800.561454323848</v>
      </c>
      <c r="F125" s="2">
        <f t="shared" si="17"/>
        <v>122327.59266660939</v>
      </c>
      <c r="G125" s="2">
        <f t="shared" si="18"/>
        <v>218736.25266660939</v>
      </c>
      <c r="H125">
        <v>2.2257163499999999</v>
      </c>
      <c r="I125" s="3">
        <v>455.25470000000001</v>
      </c>
      <c r="J125" s="2">
        <f t="shared" si="19"/>
        <v>480.47005921434612</v>
      </c>
      <c r="K125" s="1">
        <f t="shared" si="22"/>
        <v>42.848293333333338</v>
      </c>
      <c r="L125" s="1">
        <f t="shared" si="23"/>
        <v>54.367818962937505</v>
      </c>
    </row>
    <row r="126" spans="1:16" hidden="1" x14ac:dyDescent="0.3">
      <c r="A126" s="12"/>
      <c r="B126" s="11">
        <v>46104</v>
      </c>
      <c r="C126" s="3">
        <v>98276.787456141654</v>
      </c>
      <c r="D126" s="2">
        <v>96408.66</v>
      </c>
      <c r="E126" s="2">
        <f t="shared" si="16"/>
        <v>874.93661782878917</v>
      </c>
      <c r="F126" s="2">
        <f t="shared" si="17"/>
        <v>123202.52928443818</v>
      </c>
      <c r="G126" s="2">
        <f t="shared" si="18"/>
        <v>219611.18928443818</v>
      </c>
      <c r="H126">
        <v>2.23461913</v>
      </c>
      <c r="I126" s="3">
        <v>457.07569999999998</v>
      </c>
      <c r="J126" s="2">
        <f t="shared" si="19"/>
        <v>480.47006061455068</v>
      </c>
      <c r="K126" s="1">
        <f t="shared" si="22"/>
        <v>42.848293333333338</v>
      </c>
      <c r="L126" s="1">
        <f t="shared" si="23"/>
        <v>54.756679681972521</v>
      </c>
    </row>
    <row r="127" spans="1:16" hidden="1" x14ac:dyDescent="0.3">
      <c r="A127" s="12"/>
      <c r="B127" s="11">
        <v>46105</v>
      </c>
      <c r="C127" s="3">
        <v>98276.787456141654</v>
      </c>
      <c r="D127" s="2">
        <v>96408.66</v>
      </c>
      <c r="E127" s="2">
        <f t="shared" si="16"/>
        <v>1141.9811840797192</v>
      </c>
      <c r="F127" s="2">
        <f t="shared" si="17"/>
        <v>124344.5104685179</v>
      </c>
      <c r="G127" s="2">
        <f t="shared" si="18"/>
        <v>220753.1704685179</v>
      </c>
      <c r="H127">
        <v>2.2462391799999999</v>
      </c>
      <c r="I127" s="3">
        <v>459.45249999999999</v>
      </c>
      <c r="J127" s="2">
        <f t="shared" si="19"/>
        <v>480.47006049269055</v>
      </c>
      <c r="K127" s="1">
        <f t="shared" si="22"/>
        <v>42.848293333333338</v>
      </c>
      <c r="L127" s="1">
        <f t="shared" si="23"/>
        <v>55.264226874896842</v>
      </c>
    </row>
    <row r="128" spans="1:16" hidden="1" x14ac:dyDescent="0.3">
      <c r="A128" s="12"/>
      <c r="B128" s="11">
        <v>46106</v>
      </c>
      <c r="C128" s="3">
        <v>98276.787456141654</v>
      </c>
      <c r="D128" s="2">
        <v>96408.66</v>
      </c>
      <c r="E128" s="2">
        <f t="shared" si="16"/>
        <v>1545.2874989065167</v>
      </c>
      <c r="F128" s="2">
        <f t="shared" si="17"/>
        <v>125889.79796742441</v>
      </c>
      <c r="G128" s="2">
        <f t="shared" si="18"/>
        <v>222298.45796742442</v>
      </c>
      <c r="H128">
        <v>2.2619630100000001</v>
      </c>
      <c r="I128" s="3">
        <v>462.6687</v>
      </c>
      <c r="J128" s="2">
        <f t="shared" si="19"/>
        <v>480.47005982342097</v>
      </c>
      <c r="K128" s="1">
        <f t="shared" si="22"/>
        <v>42.848293333333338</v>
      </c>
      <c r="L128" s="1">
        <f t="shared" si="23"/>
        <v>55.951021318855297</v>
      </c>
    </row>
    <row r="129" spans="1:18" hidden="1" x14ac:dyDescent="0.3">
      <c r="A129" s="12"/>
      <c r="B129" s="11">
        <v>46107</v>
      </c>
      <c r="C129" s="3">
        <v>98276.787456141654</v>
      </c>
      <c r="D129" s="2">
        <v>96408.66</v>
      </c>
      <c r="E129" s="2">
        <f t="shared" si="16"/>
        <v>1889.5442059902707</v>
      </c>
      <c r="F129" s="2">
        <f t="shared" si="17"/>
        <v>127779.34217341468</v>
      </c>
      <c r="G129" s="2">
        <f t="shared" si="18"/>
        <v>224188.00217341469</v>
      </c>
      <c r="H129">
        <v>2.2811897700000001</v>
      </c>
      <c r="I129" s="3">
        <v>466.60140000000001</v>
      </c>
      <c r="J129" s="2">
        <f t="shared" si="19"/>
        <v>480.47005896985024</v>
      </c>
      <c r="K129" s="1">
        <f t="shared" si="22"/>
        <v>42.848293333333338</v>
      </c>
      <c r="L129" s="1">
        <f t="shared" si="23"/>
        <v>56.790818743739862</v>
      </c>
    </row>
    <row r="130" spans="1:18" hidden="1" x14ac:dyDescent="0.3">
      <c r="A130" s="12"/>
      <c r="B130" s="11">
        <v>46108</v>
      </c>
      <c r="C130" s="3">
        <v>98276.787456141654</v>
      </c>
      <c r="D130" s="2">
        <v>96408.66</v>
      </c>
      <c r="E130" s="2">
        <f t="shared" si="16"/>
        <v>919.18770691665122</v>
      </c>
      <c r="F130" s="2">
        <f t="shared" si="17"/>
        <v>128698.52988033133</v>
      </c>
      <c r="G130" s="2">
        <f t="shared" si="18"/>
        <v>225107.18988033134</v>
      </c>
      <c r="H130">
        <v>2.2905428200000002</v>
      </c>
      <c r="I130" s="3">
        <v>468.5145</v>
      </c>
      <c r="J130" s="2">
        <f t="shared" ref="J130:J164" si="24">+G130/I130</f>
        <v>480.47005990280201</v>
      </c>
      <c r="K130" s="1">
        <f t="shared" si="22"/>
        <v>42.848293333333338</v>
      </c>
      <c r="L130" s="1">
        <f t="shared" si="23"/>
        <v>57.199346613480593</v>
      </c>
    </row>
    <row r="131" spans="1:18" hidden="1" x14ac:dyDescent="0.3">
      <c r="A131" s="12"/>
      <c r="B131" s="11">
        <v>46111</v>
      </c>
      <c r="C131" s="3">
        <v>98276.787456141654</v>
      </c>
      <c r="D131" s="2">
        <v>96408.66</v>
      </c>
      <c r="E131" s="2">
        <f t="shared" si="16"/>
        <v>1530.7297583806212</v>
      </c>
      <c r="F131" s="2">
        <f t="shared" si="17"/>
        <v>130229.25963871196</v>
      </c>
      <c r="G131" s="2">
        <f t="shared" si="18"/>
        <v>226637.91963871196</v>
      </c>
      <c r="H131">
        <v>2.3061185200000001</v>
      </c>
      <c r="I131" s="3">
        <v>471.7004</v>
      </c>
      <c r="J131" s="2">
        <f t="shared" si="24"/>
        <v>480.47006031521693</v>
      </c>
      <c r="K131" s="1">
        <f t="shared" si="22"/>
        <v>42.848293333333338</v>
      </c>
      <c r="L131" s="1">
        <f t="shared" si="23"/>
        <v>57.879670950538646</v>
      </c>
    </row>
    <row r="132" spans="1:18" hidden="1" x14ac:dyDescent="0.3">
      <c r="B132" s="11">
        <v>46112</v>
      </c>
      <c r="C132" s="3">
        <v>98276.787456141654</v>
      </c>
      <c r="D132" s="2">
        <v>96408.66</v>
      </c>
      <c r="E132" s="2">
        <f t="shared" si="16"/>
        <v>1042.5240924062673</v>
      </c>
      <c r="F132" s="2">
        <f t="shared" si="17"/>
        <v>131271.78373111822</v>
      </c>
      <c r="G132" s="2">
        <f t="shared" si="18"/>
        <v>227680.44373111823</v>
      </c>
      <c r="H132">
        <v>2.3167265600000002</v>
      </c>
      <c r="I132" s="3">
        <v>473.87020000000001</v>
      </c>
      <c r="J132" s="2">
        <f t="shared" si="24"/>
        <v>480.47006064343827</v>
      </c>
      <c r="K132" s="1">
        <f t="shared" si="22"/>
        <v>42.848293333333338</v>
      </c>
      <c r="L132" s="1">
        <f t="shared" si="23"/>
        <v>58.343014991608094</v>
      </c>
    </row>
    <row r="133" spans="1:18" hidden="1" x14ac:dyDescent="0.3">
      <c r="B133" s="11">
        <v>46113</v>
      </c>
      <c r="C133" s="3">
        <v>98276.787456141654</v>
      </c>
      <c r="D133" s="2">
        <v>96408.66</v>
      </c>
      <c r="E133" s="2">
        <f t="shared" si="16"/>
        <v>22.773679957201239</v>
      </c>
      <c r="F133" s="2">
        <f t="shared" si="17"/>
        <v>131294.55741107542</v>
      </c>
      <c r="G133" s="2">
        <f t="shared" si="18"/>
        <v>227703.21741107543</v>
      </c>
      <c r="H133">
        <v>2.3169582900000001</v>
      </c>
      <c r="I133" s="3">
        <v>473.91759999999999</v>
      </c>
      <c r="J133" s="2">
        <f t="shared" si="24"/>
        <v>480.47005937545987</v>
      </c>
      <c r="K133" s="1">
        <f t="shared" si="22"/>
        <v>42.848293333333338</v>
      </c>
      <c r="L133" s="1">
        <f t="shared" si="23"/>
        <v>58.353136627144636</v>
      </c>
    </row>
    <row r="134" spans="1:18" x14ac:dyDescent="0.3">
      <c r="B134" s="11">
        <v>46118</v>
      </c>
      <c r="C134" s="3">
        <v>98276.787456141654</v>
      </c>
      <c r="D134" s="2">
        <v>96408.66</v>
      </c>
      <c r="E134" s="2">
        <f t="shared" si="16"/>
        <v>68.323005407379242</v>
      </c>
      <c r="F134" s="2">
        <f t="shared" si="17"/>
        <v>131362.8804164828</v>
      </c>
      <c r="G134" s="2">
        <f t="shared" si="18"/>
        <v>227771.54041648281</v>
      </c>
      <c r="H134">
        <v>2.3176535</v>
      </c>
      <c r="I134" s="3">
        <v>474.0598</v>
      </c>
      <c r="J134" s="2">
        <f t="shared" si="24"/>
        <v>480.47005971922277</v>
      </c>
      <c r="K134" s="1">
        <f t="shared" si="22"/>
        <v>42.848293333333338</v>
      </c>
      <c r="L134" s="1">
        <f t="shared" si="23"/>
        <v>58.383502407325693</v>
      </c>
      <c r="O134" s="2">
        <v>1285.45</v>
      </c>
      <c r="P134" t="s">
        <v>23</v>
      </c>
    </row>
    <row r="135" spans="1:18" x14ac:dyDescent="0.3">
      <c r="B135" s="11">
        <v>46119</v>
      </c>
      <c r="C135" s="3">
        <v>98276.787456141654</v>
      </c>
      <c r="D135" s="2">
        <v>96408.66</v>
      </c>
      <c r="E135" s="2">
        <f t="shared" si="16"/>
        <v>227.74269617936807</v>
      </c>
      <c r="F135" s="2">
        <f t="shared" si="17"/>
        <v>131590.62311266217</v>
      </c>
      <c r="G135" s="2">
        <f t="shared" si="18"/>
        <v>227999.28311266217</v>
      </c>
      <c r="H135">
        <v>2.3199708600000002</v>
      </c>
      <c r="I135" s="3">
        <v>474.53379999999999</v>
      </c>
      <c r="J135" s="2">
        <f t="shared" si="24"/>
        <v>480.47005948293287</v>
      </c>
      <c r="K135" s="1">
        <f t="shared" si="22"/>
        <v>42.848293333333338</v>
      </c>
      <c r="L135" s="1">
        <f t="shared" si="23"/>
        <v>58.484721383405414</v>
      </c>
      <c r="O135" s="2">
        <v>13231.49</v>
      </c>
      <c r="P135" t="s">
        <v>24</v>
      </c>
    </row>
    <row r="136" spans="1:18" x14ac:dyDescent="0.3">
      <c r="B136" s="11">
        <v>46120</v>
      </c>
      <c r="C136" s="3">
        <v>98276.787456141654</v>
      </c>
      <c r="D136" s="2">
        <v>96408.66</v>
      </c>
      <c r="E136" s="2">
        <f t="shared" si="16"/>
        <v>227.98347430862486</v>
      </c>
      <c r="F136" s="2">
        <f t="shared" si="17"/>
        <v>131818.6065869708</v>
      </c>
      <c r="G136" s="2">
        <f t="shared" si="18"/>
        <v>228227.2665869708</v>
      </c>
      <c r="H136">
        <v>2.3222906700000001</v>
      </c>
      <c r="I136" s="3">
        <v>475.00830000000002</v>
      </c>
      <c r="J136" s="2">
        <f t="shared" si="24"/>
        <v>480.47006039046221</v>
      </c>
      <c r="K136" s="1">
        <f t="shared" si="22"/>
        <v>42.848293333333338</v>
      </c>
      <c r="L136" s="1">
        <f t="shared" si="23"/>
        <v>58.586047371987021</v>
      </c>
      <c r="O136" s="2">
        <v>0</v>
      </c>
      <c r="P136" t="s">
        <v>14</v>
      </c>
    </row>
    <row r="137" spans="1:18" s="5" customFormat="1" x14ac:dyDescent="0.3">
      <c r="B137" s="11">
        <v>46121</v>
      </c>
      <c r="C137" s="3">
        <v>98276.787456141654</v>
      </c>
      <c r="D137" s="2">
        <v>96408.66</v>
      </c>
      <c r="E137" s="2">
        <f t="shared" si="16"/>
        <v>456.446539340046</v>
      </c>
      <c r="F137" s="2">
        <f t="shared" si="17"/>
        <v>132275.05312631084</v>
      </c>
      <c r="G137" s="2">
        <f t="shared" si="18"/>
        <v>228683.71312631085</v>
      </c>
      <c r="H137">
        <v>2.3269351700000001</v>
      </c>
      <c r="I137" s="3">
        <v>475.95830000000001</v>
      </c>
      <c r="J137" s="2">
        <f t="shared" si="24"/>
        <v>480.47006035257886</v>
      </c>
      <c r="K137" s="1">
        <f t="shared" si="22"/>
        <v>42.848293333333338</v>
      </c>
      <c r="L137" s="1">
        <f t="shared" si="23"/>
        <v>58.788912500582605</v>
      </c>
      <c r="M137"/>
      <c r="N137" s="2"/>
      <c r="O137" s="2">
        <v>0</v>
      </c>
      <c r="P137"/>
      <c r="Q137"/>
      <c r="R137"/>
    </row>
    <row r="138" spans="1:18" s="5" customFormat="1" x14ac:dyDescent="0.3">
      <c r="B138" s="11">
        <v>46122</v>
      </c>
      <c r="C138" s="3">
        <v>98276.787456141654</v>
      </c>
      <c r="D138" s="2">
        <v>96408.66</v>
      </c>
      <c r="E138" s="2">
        <f t="shared" si="16"/>
        <v>228.6556875348615</v>
      </c>
      <c r="F138" s="2">
        <f t="shared" si="17"/>
        <v>132503.7088138457</v>
      </c>
      <c r="G138" s="2">
        <f t="shared" si="18"/>
        <v>228912.36881384571</v>
      </c>
      <c r="H138">
        <v>2.3292618200000001</v>
      </c>
      <c r="I138" s="3">
        <v>476.43419999999998</v>
      </c>
      <c r="J138" s="2">
        <f t="shared" si="24"/>
        <v>480.4700603228016</v>
      </c>
      <c r="K138" s="1">
        <f t="shared" si="22"/>
        <v>42.848293333333338</v>
      </c>
      <c r="L138" s="1">
        <f t="shared" si="23"/>
        <v>58.890537250598086</v>
      </c>
      <c r="M138"/>
      <c r="N138"/>
      <c r="O138" s="2">
        <v>17933.93</v>
      </c>
      <c r="P138" t="s">
        <v>25</v>
      </c>
      <c r="Q138"/>
      <c r="R138"/>
    </row>
    <row r="139" spans="1:18" s="5" customFormat="1" x14ac:dyDescent="0.3">
      <c r="B139" s="11">
        <v>46125</v>
      </c>
      <c r="C139" s="3">
        <v>98276.787456141654</v>
      </c>
      <c r="D139" s="2">
        <v>96408.66</v>
      </c>
      <c r="E139" s="2">
        <f t="shared" si="16"/>
        <v>343.34371572826058</v>
      </c>
      <c r="F139" s="2">
        <f t="shared" si="17"/>
        <v>132847.05252957396</v>
      </c>
      <c r="G139" s="2">
        <f t="shared" si="18"/>
        <v>229255.71252957397</v>
      </c>
      <c r="H139">
        <v>2.33275546</v>
      </c>
      <c r="I139" s="3">
        <v>477.14879999999999</v>
      </c>
      <c r="J139" s="2">
        <f t="shared" si="24"/>
        <v>480.47005992590567</v>
      </c>
      <c r="K139" s="1">
        <f t="shared" si="22"/>
        <v>42.848293333333338</v>
      </c>
      <c r="L139" s="1">
        <f t="shared" si="23"/>
        <v>59.04313445758843</v>
      </c>
      <c r="M139"/>
      <c r="N139"/>
      <c r="O139" s="2">
        <v>100.92</v>
      </c>
      <c r="P139" t="s">
        <v>17</v>
      </c>
      <c r="Q139"/>
      <c r="R139"/>
    </row>
    <row r="140" spans="1:18" s="5" customFormat="1" ht="16.2" x14ac:dyDescent="0.45">
      <c r="B140" s="11">
        <v>46126</v>
      </c>
      <c r="C140" s="3">
        <v>98276.787456141654</v>
      </c>
      <c r="D140" s="2">
        <v>96408.66</v>
      </c>
      <c r="E140" s="2">
        <f t="shared" si="16"/>
        <v>229.23257227719296</v>
      </c>
      <c r="F140" s="2">
        <f t="shared" si="17"/>
        <v>133076.28510185116</v>
      </c>
      <c r="G140" s="2">
        <f t="shared" si="18"/>
        <v>229484.94510185116</v>
      </c>
      <c r="H140">
        <v>2.33508798</v>
      </c>
      <c r="I140" s="3">
        <v>477.6259</v>
      </c>
      <c r="J140" s="2">
        <f t="shared" si="24"/>
        <v>480.47006056801183</v>
      </c>
      <c r="K140" s="1">
        <f t="shared" si="22"/>
        <v>42.848293333333338</v>
      </c>
      <c r="L140" s="1">
        <f t="shared" si="23"/>
        <v>59.145015600822738</v>
      </c>
      <c r="M140"/>
      <c r="N140" s="27" t="s">
        <v>29</v>
      </c>
      <c r="O140" s="2">
        <v>0</v>
      </c>
      <c r="P140" t="s">
        <v>17</v>
      </c>
      <c r="Q140"/>
      <c r="R140"/>
    </row>
    <row r="141" spans="1:18" s="5" customFormat="1" ht="15" thickBot="1" x14ac:dyDescent="0.35">
      <c r="A141" s="12">
        <f>+C144-C142</f>
        <v>0</v>
      </c>
      <c r="B141" s="11" t="s">
        <v>26</v>
      </c>
      <c r="C141" s="3">
        <f>+G141/H144</f>
        <v>13319.93365638385</v>
      </c>
      <c r="D141" s="2">
        <f>+O135</f>
        <v>13231.49</v>
      </c>
      <c r="E141" s="2"/>
      <c r="F141" s="2">
        <f>+O138</f>
        <v>17933.93</v>
      </c>
      <c r="G141" s="2">
        <f>+D141+F141</f>
        <v>31165.42</v>
      </c>
      <c r="H141"/>
      <c r="I141" s="3"/>
      <c r="J141" s="2"/>
      <c r="K141" s="23">
        <f>+K140*N141</f>
        <v>1242.6005066666669</v>
      </c>
      <c r="L141" s="23">
        <f>+L140*N141</f>
        <v>1715.2054524238595</v>
      </c>
      <c r="M141" t="s">
        <v>21</v>
      </c>
      <c r="N141" s="26">
        <f>+B140-B122</f>
        <v>29</v>
      </c>
      <c r="O141" s="23">
        <f>SUM(O134:O140)</f>
        <v>32551.79</v>
      </c>
      <c r="P141"/>
      <c r="Q141"/>
      <c r="R141"/>
    </row>
    <row r="142" spans="1:18" s="5" customFormat="1" ht="15" thickTop="1" x14ac:dyDescent="0.3">
      <c r="B142" s="11"/>
      <c r="C142" s="3">
        <f>+C140-C141</f>
        <v>84956.85379975781</v>
      </c>
      <c r="D142" s="2"/>
      <c r="E142" s="2"/>
      <c r="F142" s="2"/>
      <c r="G142" s="2"/>
      <c r="H142"/>
      <c r="I142" s="3"/>
      <c r="J142" s="2"/>
      <c r="K142" s="24">
        <f>+O134</f>
        <v>1285.45</v>
      </c>
      <c r="L142" s="24">
        <f>+O136+O137+O139+O140</f>
        <v>100.92</v>
      </c>
      <c r="M142" t="s">
        <v>22</v>
      </c>
      <c r="Q142"/>
      <c r="R142"/>
    </row>
    <row r="143" spans="1:18" s="5" customFormat="1" x14ac:dyDescent="0.3">
      <c r="B143" s="11"/>
      <c r="C143" s="3"/>
      <c r="D143" s="2"/>
      <c r="E143" s="2"/>
      <c r="F143" s="2"/>
      <c r="G143" s="2"/>
      <c r="H143"/>
      <c r="I143" s="3"/>
      <c r="J143" s="25" t="s">
        <v>28</v>
      </c>
      <c r="K143" s="24">
        <f>+K142-K141</f>
        <v>42.849493333333157</v>
      </c>
      <c r="L143" s="24">
        <f>+L142-L141</f>
        <v>-1614.2854524238594</v>
      </c>
      <c r="M143"/>
      <c r="N143"/>
      <c r="O143"/>
      <c r="P143"/>
      <c r="Q143"/>
      <c r="R143"/>
    </row>
    <row r="144" spans="1:18" s="5" customFormat="1" x14ac:dyDescent="0.3">
      <c r="A144" s="28" t="s">
        <v>34</v>
      </c>
      <c r="B144" s="18">
        <v>46127</v>
      </c>
      <c r="C144" s="16">
        <f>+G144/H144</f>
        <v>84956.85379975781</v>
      </c>
      <c r="D144" s="13">
        <f>+D140-D141</f>
        <v>83177.17</v>
      </c>
      <c r="E144" s="13"/>
      <c r="F144" s="13">
        <f>(C140*H144-$D$122)-F141</f>
        <v>115601.29983712835</v>
      </c>
      <c r="G144" s="13">
        <f>+D144+F144</f>
        <v>198778.46983712836</v>
      </c>
      <c r="H144" s="14">
        <v>2.3397578999999999</v>
      </c>
      <c r="I144" s="16">
        <v>478.58109999999999</v>
      </c>
      <c r="J144" s="13">
        <f t="shared" si="24"/>
        <v>415.34960289306946</v>
      </c>
      <c r="K144" s="30">
        <f t="shared" ref="K144:K168" si="25">+D144*$K$8/360</f>
        <v>36.96763111111111</v>
      </c>
      <c r="L144" s="30">
        <f t="shared" ref="L144:L168" si="26">+F144*$L$8/360</f>
        <v>51.37835548316815</v>
      </c>
      <c r="M144" s="31">
        <f>+J140-J144</f>
        <v>65.120457674942372</v>
      </c>
      <c r="N144" s="13" t="s">
        <v>35</v>
      </c>
      <c r="O144"/>
      <c r="P144"/>
      <c r="Q144"/>
      <c r="R144"/>
    </row>
    <row r="145" spans="1:18" s="5" customFormat="1" x14ac:dyDescent="0.3">
      <c r="A145" s="12"/>
      <c r="B145" s="11">
        <v>46128</v>
      </c>
      <c r="C145" s="3">
        <v>84956.85379975781</v>
      </c>
      <c r="D145" s="2">
        <v>83177.17</v>
      </c>
      <c r="E145" s="2">
        <f t="shared" si="16"/>
        <v>496.92453183433099</v>
      </c>
      <c r="F145" s="2">
        <f t="shared" si="17"/>
        <v>116098.22436896268</v>
      </c>
      <c r="G145" s="2">
        <f t="shared" si="18"/>
        <v>199275.39436896268</v>
      </c>
      <c r="H145">
        <v>2.34560704</v>
      </c>
      <c r="I145" s="3">
        <v>479.77749999999997</v>
      </c>
      <c r="J145" s="2">
        <f t="shared" si="24"/>
        <v>415.34960344943789</v>
      </c>
      <c r="K145" s="1">
        <f t="shared" si="25"/>
        <v>36.96763111111111</v>
      </c>
      <c r="L145" s="1">
        <f t="shared" si="26"/>
        <v>51.59921083065008</v>
      </c>
      <c r="M145" s="13">
        <f>+M35+M56+M77+M101+M122+M144</f>
        <v>378.82712341366357</v>
      </c>
      <c r="N145" s="13" t="s">
        <v>36</v>
      </c>
      <c r="O145"/>
      <c r="P145"/>
      <c r="Q145"/>
      <c r="R145"/>
    </row>
    <row r="146" spans="1:18" s="5" customFormat="1" x14ac:dyDescent="0.3">
      <c r="A146" s="12"/>
      <c r="B146" s="11">
        <v>46129</v>
      </c>
      <c r="C146" s="3">
        <v>84956.85379975781</v>
      </c>
      <c r="D146" s="2">
        <v>83177.17</v>
      </c>
      <c r="E146" s="2">
        <f t="shared" si="16"/>
        <v>199.24251266825013</v>
      </c>
      <c r="F146" s="2">
        <f t="shared" si="17"/>
        <v>116297.46688163093</v>
      </c>
      <c r="G146" s="2">
        <f t="shared" si="18"/>
        <v>199474.63688163093</v>
      </c>
      <c r="H146">
        <v>2.34795226</v>
      </c>
      <c r="I146" s="3">
        <v>480.25720000000001</v>
      </c>
      <c r="J146" s="2">
        <f t="shared" si="24"/>
        <v>415.34960200832165</v>
      </c>
      <c r="K146" s="1">
        <f t="shared" si="25"/>
        <v>36.96763111111111</v>
      </c>
      <c r="L146" s="1">
        <f t="shared" si="26"/>
        <v>51.687763058502632</v>
      </c>
      <c r="M146" s="13">
        <f>+$J$9-M145</f>
        <v>415.34957593833792</v>
      </c>
      <c r="N146" s="13" t="s">
        <v>37</v>
      </c>
      <c r="O146"/>
      <c r="P146"/>
      <c r="Q146"/>
      <c r="R146"/>
    </row>
    <row r="147" spans="1:18" s="5" customFormat="1" x14ac:dyDescent="0.3">
      <c r="B147" s="11">
        <v>46132</v>
      </c>
      <c r="C147" s="3">
        <v>84956.85379975781</v>
      </c>
      <c r="D147" s="2">
        <v>83177.17</v>
      </c>
      <c r="E147" s="2">
        <f t="shared" si="16"/>
        <v>398.94379234706867</v>
      </c>
      <c r="F147" s="2">
        <f t="shared" si="17"/>
        <v>116696.410673978</v>
      </c>
      <c r="G147" s="2">
        <f t="shared" si="18"/>
        <v>199873.58067397799</v>
      </c>
      <c r="H147">
        <v>2.3526481000000001</v>
      </c>
      <c r="I147" s="3">
        <v>481.21769999999998</v>
      </c>
      <c r="J147" s="2">
        <f t="shared" si="24"/>
        <v>415.34960304655874</v>
      </c>
      <c r="K147" s="1">
        <f t="shared" si="25"/>
        <v>36.96763111111111</v>
      </c>
      <c r="L147" s="1">
        <f t="shared" si="26"/>
        <v>51.865071410656888</v>
      </c>
      <c r="M147"/>
      <c r="N147"/>
      <c r="O147"/>
      <c r="P147"/>
      <c r="Q147"/>
      <c r="R147"/>
    </row>
    <row r="148" spans="1:18" s="5" customFormat="1" x14ac:dyDescent="0.3">
      <c r="B148" s="11">
        <v>46133</v>
      </c>
      <c r="C148" s="3">
        <v>84956.85379975781</v>
      </c>
      <c r="D148" s="2">
        <v>83177.17</v>
      </c>
      <c r="E148" s="2">
        <f t="shared" si="16"/>
        <v>199.8660959751578</v>
      </c>
      <c r="F148" s="2">
        <f t="shared" si="17"/>
        <v>116896.27676995315</v>
      </c>
      <c r="G148" s="2">
        <f t="shared" si="18"/>
        <v>200073.44676995315</v>
      </c>
      <c r="H148">
        <v>2.35500066</v>
      </c>
      <c r="I148" s="3">
        <v>481.69889999999998</v>
      </c>
      <c r="J148" s="2">
        <f t="shared" si="24"/>
        <v>415.34960277043018</v>
      </c>
      <c r="K148" s="1">
        <f t="shared" si="25"/>
        <v>36.96763111111111</v>
      </c>
      <c r="L148" s="1">
        <f t="shared" si="26"/>
        <v>51.953900786645846</v>
      </c>
      <c r="M148" s="17">
        <f>+M146-J144</f>
        <v>-2.6954731538353371E-5</v>
      </c>
      <c r="N148"/>
      <c r="O148"/>
      <c r="P148"/>
      <c r="Q148"/>
      <c r="R148"/>
    </row>
    <row r="149" spans="1:18" s="5" customFormat="1" x14ac:dyDescent="0.3">
      <c r="B149" s="11">
        <v>46134</v>
      </c>
      <c r="C149" s="3">
        <v>84956.85379975781</v>
      </c>
      <c r="D149" s="2">
        <v>83177.17</v>
      </c>
      <c r="E149" s="2">
        <f t="shared" si="16"/>
        <v>440.14616730285343</v>
      </c>
      <c r="F149" s="2">
        <f t="shared" si="17"/>
        <v>117336.42293725601</v>
      </c>
      <c r="G149" s="2">
        <f t="shared" si="18"/>
        <v>200513.59293725601</v>
      </c>
      <c r="H149">
        <v>2.3601814800000001</v>
      </c>
      <c r="I149" s="3">
        <v>482.7586</v>
      </c>
      <c r="J149" s="2">
        <f t="shared" si="24"/>
        <v>415.34960317072756</v>
      </c>
      <c r="K149" s="1">
        <f t="shared" si="25"/>
        <v>36.96763111111111</v>
      </c>
      <c r="L149" s="1">
        <f t="shared" si="26"/>
        <v>52.149521305447124</v>
      </c>
      <c r="M149"/>
      <c r="N149"/>
      <c r="O149"/>
      <c r="P149"/>
      <c r="Q149"/>
      <c r="R149"/>
    </row>
    <row r="150" spans="1:18" s="5" customFormat="1" x14ac:dyDescent="0.3">
      <c r="B150" s="11">
        <v>46135</v>
      </c>
      <c r="C150" s="3">
        <v>84956.85379975781</v>
      </c>
      <c r="D150" s="2">
        <v>83177.17</v>
      </c>
      <c r="E150" s="2">
        <f t="shared" si="16"/>
        <v>240.61225262607331</v>
      </c>
      <c r="F150" s="2">
        <f t="shared" si="17"/>
        <v>117577.03518988208</v>
      </c>
      <c r="G150" s="2">
        <f t="shared" si="18"/>
        <v>200754.20518988208</v>
      </c>
      <c r="H150">
        <v>2.3630136500000001</v>
      </c>
      <c r="I150" s="3">
        <v>483.33789999999999</v>
      </c>
      <c r="J150" s="2">
        <f t="shared" si="24"/>
        <v>415.349603641432</v>
      </c>
      <c r="K150" s="1">
        <f t="shared" si="25"/>
        <v>36.96763111111111</v>
      </c>
      <c r="L150" s="1">
        <f t="shared" si="26"/>
        <v>52.256460084392032</v>
      </c>
      <c r="M150"/>
      <c r="N150"/>
      <c r="O150"/>
      <c r="P150"/>
      <c r="Q150"/>
      <c r="R150"/>
    </row>
    <row r="151" spans="1:18" s="5" customFormat="1" x14ac:dyDescent="0.3">
      <c r="B151" s="11">
        <v>46136</v>
      </c>
      <c r="C151" s="3">
        <v>84956.85379975781</v>
      </c>
      <c r="D151" s="2">
        <v>83177.17</v>
      </c>
      <c r="E151" s="2">
        <f t="shared" si="16"/>
        <v>220.79946475141332</v>
      </c>
      <c r="F151" s="2">
        <f t="shared" si="17"/>
        <v>117797.83465463349</v>
      </c>
      <c r="G151" s="2">
        <f t="shared" si="18"/>
        <v>200975.00465463349</v>
      </c>
      <c r="H151">
        <v>2.3656126099999999</v>
      </c>
      <c r="I151" s="3">
        <v>483.86950000000002</v>
      </c>
      <c r="J151" s="2">
        <f t="shared" si="24"/>
        <v>415.3496028467045</v>
      </c>
      <c r="K151" s="1">
        <f t="shared" si="25"/>
        <v>36.96763111111111</v>
      </c>
      <c r="L151" s="1">
        <f t="shared" si="26"/>
        <v>52.35459317983711</v>
      </c>
      <c r="M151"/>
      <c r="N151"/>
      <c r="O151"/>
      <c r="P151"/>
      <c r="Q151"/>
      <c r="R151"/>
    </row>
    <row r="152" spans="1:18" s="5" customFormat="1" x14ac:dyDescent="0.3">
      <c r="B152" s="11">
        <v>46139</v>
      </c>
      <c r="C152" s="3">
        <v>84956.85379975781</v>
      </c>
      <c r="D152" s="2">
        <v>83177.17</v>
      </c>
      <c r="E152" s="2">
        <f t="shared" si="16"/>
        <v>361.72759297152516</v>
      </c>
      <c r="F152" s="2">
        <f t="shared" si="17"/>
        <v>118159.56224760502</v>
      </c>
      <c r="G152" s="2">
        <f t="shared" si="18"/>
        <v>201336.73224760502</v>
      </c>
      <c r="H152">
        <v>2.36987039</v>
      </c>
      <c r="I152" s="3">
        <v>484.74040000000002</v>
      </c>
      <c r="J152" s="2">
        <f t="shared" si="24"/>
        <v>415.34960207072697</v>
      </c>
      <c r="K152" s="1">
        <f t="shared" si="25"/>
        <v>36.96763111111111</v>
      </c>
      <c r="L152" s="1">
        <f t="shared" si="26"/>
        <v>52.51536099893557</v>
      </c>
      <c r="M152"/>
      <c r="N152"/>
      <c r="O152"/>
      <c r="P152"/>
      <c r="Q152"/>
      <c r="R152"/>
    </row>
    <row r="153" spans="1:18" s="5" customFormat="1" x14ac:dyDescent="0.3">
      <c r="B153" s="11">
        <v>46140</v>
      </c>
      <c r="C153" s="3">
        <v>84956.85379975781</v>
      </c>
      <c r="D153" s="2">
        <v>83177.17</v>
      </c>
      <c r="E153" s="2">
        <f t="shared" si="16"/>
        <v>201.32055731222499</v>
      </c>
      <c r="F153" s="2">
        <f t="shared" si="17"/>
        <v>118360.88280491724</v>
      </c>
      <c r="G153" s="2">
        <f t="shared" si="18"/>
        <v>201538.05280491724</v>
      </c>
      <c r="H153">
        <v>2.3722400700000001</v>
      </c>
      <c r="I153" s="3">
        <v>485.2251</v>
      </c>
      <c r="J153" s="2">
        <f t="shared" si="24"/>
        <v>415.34960331795952</v>
      </c>
      <c r="K153" s="1">
        <f t="shared" si="25"/>
        <v>36.96763111111111</v>
      </c>
      <c r="L153" s="1">
        <f t="shared" si="26"/>
        <v>52.604836802185439</v>
      </c>
      <c r="M153"/>
      <c r="N153"/>
      <c r="O153"/>
      <c r="P153"/>
      <c r="Q153"/>
      <c r="R153"/>
    </row>
    <row r="154" spans="1:18" s="5" customFormat="1" x14ac:dyDescent="0.3">
      <c r="B154" s="11">
        <v>46141</v>
      </c>
      <c r="C154" s="3">
        <v>84956.85379975781</v>
      </c>
      <c r="D154" s="2">
        <v>83177.17</v>
      </c>
      <c r="E154" s="2">
        <f t="shared" si="16"/>
        <v>403.05485450243577</v>
      </c>
      <c r="F154" s="2">
        <f t="shared" si="17"/>
        <v>118763.93765941968</v>
      </c>
      <c r="G154" s="2">
        <f t="shared" si="18"/>
        <v>201941.10765941968</v>
      </c>
      <c r="H154">
        <v>2.3769843000000002</v>
      </c>
      <c r="I154" s="3">
        <v>486.19549999999998</v>
      </c>
      <c r="J154" s="2">
        <f t="shared" si="24"/>
        <v>415.34960249409897</v>
      </c>
      <c r="K154" s="1">
        <f t="shared" si="25"/>
        <v>36.96763111111111</v>
      </c>
      <c r="L154" s="1">
        <f t="shared" si="26"/>
        <v>52.783972293075415</v>
      </c>
      <c r="M154"/>
      <c r="N154"/>
      <c r="O154"/>
      <c r="P154"/>
      <c r="Q154"/>
      <c r="R154"/>
    </row>
    <row r="155" spans="1:18" s="5" customFormat="1" x14ac:dyDescent="0.3">
      <c r="B155" s="11">
        <v>46142</v>
      </c>
      <c r="C155" s="3">
        <v>84956.85379975781</v>
      </c>
      <c r="D155" s="2">
        <v>83177.17</v>
      </c>
      <c r="E155" s="2">
        <f t="shared" si="16"/>
        <v>383.65835521137342</v>
      </c>
      <c r="F155" s="2">
        <f t="shared" si="17"/>
        <v>119147.59601463105</v>
      </c>
      <c r="G155" s="2">
        <f t="shared" si="18"/>
        <v>202324.76601463105</v>
      </c>
      <c r="H155">
        <v>2.3815002199999999</v>
      </c>
      <c r="I155" s="3">
        <v>487.11919999999998</v>
      </c>
      <c r="J155" s="2">
        <f t="shared" si="24"/>
        <v>415.34960234503393</v>
      </c>
      <c r="K155" s="1">
        <f t="shared" si="25"/>
        <v>36.96763111111111</v>
      </c>
      <c r="L155" s="1">
        <f t="shared" si="26"/>
        <v>52.954487117613809</v>
      </c>
      <c r="M155"/>
      <c r="N155"/>
      <c r="O155"/>
      <c r="P155"/>
      <c r="Q155"/>
      <c r="R155"/>
    </row>
    <row r="156" spans="1:18" x14ac:dyDescent="0.3">
      <c r="B156" s="11">
        <v>46146</v>
      </c>
      <c r="C156" s="3">
        <v>84956.85379975781</v>
      </c>
      <c r="D156" s="2">
        <v>83177.17</v>
      </c>
      <c r="E156" s="2">
        <f t="shared" si="16"/>
        <v>1011.5838068993471</v>
      </c>
      <c r="F156" s="2">
        <f t="shared" si="17"/>
        <v>120159.1798215304</v>
      </c>
      <c r="G156" s="2">
        <f t="shared" si="18"/>
        <v>203336.3498215304</v>
      </c>
      <c r="H156">
        <v>2.3934072500000001</v>
      </c>
      <c r="I156" s="3">
        <v>489.55470000000003</v>
      </c>
      <c r="J156" s="2">
        <f t="shared" si="24"/>
        <v>415.34960203942558</v>
      </c>
      <c r="K156" s="1">
        <f t="shared" si="25"/>
        <v>36.96763111111111</v>
      </c>
      <c r="L156" s="1">
        <f t="shared" si="26"/>
        <v>53.404079920680175</v>
      </c>
    </row>
    <row r="157" spans="1:18" x14ac:dyDescent="0.3">
      <c r="B157" s="11">
        <v>46147</v>
      </c>
      <c r="C157" s="3">
        <v>84956.85379975781</v>
      </c>
      <c r="D157" s="2">
        <v>83177.17</v>
      </c>
      <c r="E157" s="2">
        <f t="shared" si="16"/>
        <v>203.31364510231651</v>
      </c>
      <c r="F157" s="2">
        <f t="shared" si="17"/>
        <v>120362.49346663272</v>
      </c>
      <c r="G157" s="2">
        <f t="shared" si="18"/>
        <v>203539.66346663272</v>
      </c>
      <c r="H157">
        <v>2.3958003899999998</v>
      </c>
      <c r="I157" s="3">
        <v>490.04419999999999</v>
      </c>
      <c r="J157" s="2">
        <f t="shared" si="24"/>
        <v>415.34960206983925</v>
      </c>
      <c r="K157" s="1">
        <f t="shared" si="25"/>
        <v>36.96763111111111</v>
      </c>
      <c r="L157" s="1">
        <f t="shared" si="26"/>
        <v>53.494441540725653</v>
      </c>
    </row>
    <row r="158" spans="1:18" x14ac:dyDescent="0.3">
      <c r="B158" s="11">
        <v>46148</v>
      </c>
      <c r="C158" s="3">
        <v>84956.85379975781</v>
      </c>
      <c r="D158" s="2">
        <v>83177.17</v>
      </c>
      <c r="E158" s="2">
        <f t="shared" ref="E158:E178" si="27">+F158-F157</f>
        <v>1384.0694862675446</v>
      </c>
      <c r="F158" s="2">
        <f t="shared" ref="F158:F178" si="28">+G158-D158</f>
        <v>121746.56295290026</v>
      </c>
      <c r="G158" s="2">
        <f t="shared" ref="G158:G178" si="29">+C158*H158</f>
        <v>204923.73295290026</v>
      </c>
      <c r="H158">
        <v>2.41209183</v>
      </c>
      <c r="I158" s="3">
        <v>493.37650000000002</v>
      </c>
      <c r="J158" s="2">
        <f t="shared" si="24"/>
        <v>415.34960208461541</v>
      </c>
      <c r="K158" s="1">
        <f t="shared" si="25"/>
        <v>36.96763111111111</v>
      </c>
      <c r="L158" s="1">
        <f t="shared" si="26"/>
        <v>54.109583534622338</v>
      </c>
    </row>
    <row r="159" spans="1:18" x14ac:dyDescent="0.3">
      <c r="B159" s="11">
        <v>46149</v>
      </c>
      <c r="C159" s="3">
        <v>84956.85379975781</v>
      </c>
      <c r="D159" s="2">
        <v>83177.17</v>
      </c>
      <c r="E159" s="2">
        <f t="shared" si="27"/>
        <v>1434.4514492764138</v>
      </c>
      <c r="F159" s="2">
        <f t="shared" si="28"/>
        <v>123181.01440217668</v>
      </c>
      <c r="G159" s="2">
        <f t="shared" si="29"/>
        <v>206358.18440217667</v>
      </c>
      <c r="H159">
        <v>2.4289763</v>
      </c>
      <c r="I159" s="3">
        <v>496.83010000000002</v>
      </c>
      <c r="J159" s="2">
        <f t="shared" si="24"/>
        <v>415.3496022124599</v>
      </c>
      <c r="K159" s="1">
        <f t="shared" si="25"/>
        <v>36.96763111111111</v>
      </c>
      <c r="L159" s="1">
        <f t="shared" si="26"/>
        <v>54.747117512078525</v>
      </c>
    </row>
    <row r="160" spans="1:18" x14ac:dyDescent="0.3">
      <c r="B160" s="11">
        <v>46150</v>
      </c>
      <c r="C160" s="3">
        <v>84956.85379975781</v>
      </c>
      <c r="D160" s="2">
        <v>83177.17</v>
      </c>
      <c r="E160" s="2">
        <f t="shared" si="27"/>
        <v>1258.8006053397839</v>
      </c>
      <c r="F160" s="2">
        <f t="shared" si="28"/>
        <v>124439.81500751646</v>
      </c>
      <c r="G160" s="2">
        <f t="shared" si="29"/>
        <v>207616.98500751646</v>
      </c>
      <c r="H160">
        <v>2.4437932400000002</v>
      </c>
      <c r="I160" s="3">
        <v>499.86079999999998</v>
      </c>
      <c r="J160" s="2">
        <f t="shared" si="24"/>
        <v>415.34960334460408</v>
      </c>
      <c r="K160" s="1">
        <f t="shared" si="25"/>
        <v>36.96763111111111</v>
      </c>
      <c r="L160" s="1">
        <f t="shared" si="26"/>
        <v>55.306584447785099</v>
      </c>
    </row>
    <row r="161" spans="1:18" x14ac:dyDescent="0.3">
      <c r="B161" s="11">
        <v>46153</v>
      </c>
      <c r="C161" s="3">
        <v>84956.85379975781</v>
      </c>
      <c r="D161" s="2">
        <v>83177.17</v>
      </c>
      <c r="E161" s="2">
        <f t="shared" si="27"/>
        <v>249.12662851385539</v>
      </c>
      <c r="F161" s="2">
        <f t="shared" si="28"/>
        <v>124688.94163603031</v>
      </c>
      <c r="G161" s="2">
        <f t="shared" si="29"/>
        <v>207866.11163603031</v>
      </c>
      <c r="H161">
        <v>2.44672563</v>
      </c>
      <c r="I161" s="3">
        <v>500.4606</v>
      </c>
      <c r="J161" s="2">
        <f t="shared" si="24"/>
        <v>415.3496032175766</v>
      </c>
      <c r="K161" s="1">
        <f t="shared" si="25"/>
        <v>36.96763111111111</v>
      </c>
      <c r="L161" s="1">
        <f t="shared" si="26"/>
        <v>55.417307393791248</v>
      </c>
    </row>
    <row r="162" spans="1:18" x14ac:dyDescent="0.3">
      <c r="B162" s="11">
        <v>46154</v>
      </c>
      <c r="C162" s="3">
        <v>84956.85379975781</v>
      </c>
      <c r="D162" s="2">
        <v>83177.17</v>
      </c>
      <c r="E162" s="2">
        <f t="shared" si="27"/>
        <v>1849.9669255256304</v>
      </c>
      <c r="F162" s="2">
        <f t="shared" si="28"/>
        <v>126538.90856155595</v>
      </c>
      <c r="G162" s="2">
        <f t="shared" si="29"/>
        <v>209716.07856155594</v>
      </c>
      <c r="H162">
        <v>2.4685009999999998</v>
      </c>
      <c r="I162" s="3">
        <v>504.91460000000001</v>
      </c>
      <c r="J162" s="2">
        <f t="shared" si="24"/>
        <v>415.34960280719935</v>
      </c>
      <c r="K162" s="1">
        <f t="shared" si="25"/>
        <v>36.96763111111111</v>
      </c>
      <c r="L162" s="1">
        <f t="shared" si="26"/>
        <v>56.239514916247089</v>
      </c>
    </row>
    <row r="163" spans="1:18" x14ac:dyDescent="0.3">
      <c r="B163" s="11">
        <v>46155</v>
      </c>
      <c r="C163" s="3">
        <v>84956.85379975781</v>
      </c>
      <c r="D163" s="2">
        <v>83177.17</v>
      </c>
      <c r="E163" s="2">
        <f t="shared" si="27"/>
        <v>1530.8953192784102</v>
      </c>
      <c r="F163" s="2">
        <f t="shared" si="28"/>
        <v>128069.80388083436</v>
      </c>
      <c r="G163" s="2">
        <f t="shared" si="29"/>
        <v>211246.97388083435</v>
      </c>
      <c r="H163">
        <v>2.4865206799999999</v>
      </c>
      <c r="I163" s="3">
        <v>508.60039999999998</v>
      </c>
      <c r="J163" s="2">
        <f t="shared" si="24"/>
        <v>415.34960232204764</v>
      </c>
      <c r="K163" s="1">
        <f t="shared" si="25"/>
        <v>36.96763111111111</v>
      </c>
      <c r="L163" s="1">
        <f t="shared" si="26"/>
        <v>56.919912835926382</v>
      </c>
    </row>
    <row r="164" spans="1:18" x14ac:dyDescent="0.3">
      <c r="B164" s="11">
        <v>46156</v>
      </c>
      <c r="C164" s="3">
        <v>84956.85379975781</v>
      </c>
      <c r="D164" s="2">
        <v>83177.17</v>
      </c>
      <c r="E164" s="2">
        <f t="shared" si="27"/>
        <v>908.32809635967715</v>
      </c>
      <c r="F164" s="2">
        <f t="shared" si="28"/>
        <v>128978.13197719403</v>
      </c>
      <c r="G164" s="2">
        <f t="shared" si="29"/>
        <v>212155.30197719403</v>
      </c>
      <c r="H164">
        <v>2.49721232</v>
      </c>
      <c r="I164" s="3">
        <v>510.78</v>
      </c>
      <c r="J164" s="2">
        <f t="shared" si="24"/>
        <v>415.35553854339253</v>
      </c>
      <c r="K164" s="1">
        <f t="shared" si="25"/>
        <v>36.96763111111111</v>
      </c>
      <c r="L164" s="1">
        <f t="shared" si="26"/>
        <v>57.323614212086241</v>
      </c>
    </row>
    <row r="165" spans="1:18" x14ac:dyDescent="0.3">
      <c r="A165" s="12">
        <f>+C168-C166</f>
        <v>84956.85379975781</v>
      </c>
      <c r="B165" s="11" t="s">
        <v>26</v>
      </c>
      <c r="C165" s="3"/>
      <c r="D165" s="2"/>
      <c r="E165" s="2"/>
      <c r="F165" s="2"/>
      <c r="G165" s="2"/>
      <c r="I165" s="3"/>
      <c r="J165" s="2"/>
      <c r="K165" s="1"/>
      <c r="L165" s="1"/>
    </row>
    <row r="166" spans="1:18" x14ac:dyDescent="0.3">
      <c r="B166" s="11"/>
      <c r="C166" s="3"/>
      <c r="D166" s="2"/>
      <c r="E166" s="2"/>
      <c r="F166" s="2"/>
      <c r="G166" s="2"/>
      <c r="I166" s="3"/>
      <c r="J166" s="2"/>
      <c r="K166" s="1"/>
      <c r="L166" s="1"/>
    </row>
    <row r="167" spans="1:18" x14ac:dyDescent="0.3">
      <c r="B167" s="11"/>
      <c r="C167" s="3"/>
      <c r="D167" s="2"/>
      <c r="E167" s="2"/>
      <c r="F167" s="2"/>
      <c r="G167" s="2"/>
      <c r="I167" s="3"/>
      <c r="J167" s="2"/>
      <c r="K167" s="1"/>
      <c r="L167" s="1"/>
    </row>
    <row r="168" spans="1:18" x14ac:dyDescent="0.3">
      <c r="A168" s="28" t="s">
        <v>38</v>
      </c>
      <c r="B168" s="11">
        <v>46157</v>
      </c>
      <c r="C168" s="3">
        <v>84956.85379975781</v>
      </c>
      <c r="D168" s="2">
        <v>83177.17</v>
      </c>
      <c r="E168" s="2">
        <f>+F168-F164</f>
        <v>-212155.30197719403</v>
      </c>
      <c r="F168" s="2">
        <f t="shared" si="28"/>
        <v>-83177.17</v>
      </c>
      <c r="G168" s="2">
        <f t="shared" si="29"/>
        <v>0</v>
      </c>
      <c r="H168">
        <v>0</v>
      </c>
      <c r="I168" s="3">
        <v>515.17999999999995</v>
      </c>
      <c r="J168" s="2">
        <f t="shared" ref="J168:J178" si="30">+G168/I168</f>
        <v>0</v>
      </c>
      <c r="K168" s="1">
        <f t="shared" si="25"/>
        <v>36.96763111111111</v>
      </c>
      <c r="L168" s="1">
        <f t="shared" si="26"/>
        <v>-36.96763111111111</v>
      </c>
      <c r="M168" s="11"/>
      <c r="N168" s="11"/>
      <c r="O168" s="11"/>
      <c r="P168" s="11"/>
    </row>
    <row r="169" spans="1:18" x14ac:dyDescent="0.3">
      <c r="B169" s="11">
        <v>46160</v>
      </c>
      <c r="C169" s="3">
        <v>84956.85379975781</v>
      </c>
      <c r="D169" s="2">
        <v>83177.17</v>
      </c>
      <c r="E169" s="2">
        <f t="shared" si="27"/>
        <v>0</v>
      </c>
      <c r="F169" s="2">
        <f t="shared" si="28"/>
        <v>-83177.17</v>
      </c>
      <c r="G169" s="2">
        <f t="shared" si="29"/>
        <v>0</v>
      </c>
      <c r="H169">
        <v>0</v>
      </c>
      <c r="I169" s="3">
        <v>0</v>
      </c>
      <c r="J169" s="2" t="e">
        <f t="shared" si="30"/>
        <v>#DIV/0!</v>
      </c>
      <c r="K169" s="2"/>
      <c r="L169" s="2"/>
      <c r="M169" s="2"/>
      <c r="N169" s="2"/>
      <c r="O169" s="2"/>
      <c r="P169" s="2"/>
    </row>
    <row r="170" spans="1:18" x14ac:dyDescent="0.3">
      <c r="B170" s="11">
        <v>46161</v>
      </c>
      <c r="C170" s="3">
        <v>84956.85379975781</v>
      </c>
      <c r="D170" s="2">
        <v>83177.17</v>
      </c>
      <c r="E170" s="2">
        <f t="shared" si="27"/>
        <v>0</v>
      </c>
      <c r="F170" s="2">
        <f t="shared" si="28"/>
        <v>-83177.17</v>
      </c>
      <c r="G170" s="2">
        <f t="shared" si="29"/>
        <v>0</v>
      </c>
      <c r="H170">
        <v>0</v>
      </c>
      <c r="I170" s="3">
        <v>0</v>
      </c>
      <c r="J170" s="2" t="e">
        <f t="shared" si="30"/>
        <v>#DIV/0!</v>
      </c>
      <c r="K170" s="2"/>
      <c r="L170" s="2"/>
      <c r="M170" s="2"/>
      <c r="N170" s="2"/>
      <c r="O170" s="2"/>
      <c r="P170" s="2"/>
      <c r="Q170" s="3"/>
      <c r="R170" s="17"/>
    </row>
    <row r="171" spans="1:18" x14ac:dyDescent="0.3">
      <c r="B171" s="11">
        <v>46162</v>
      </c>
      <c r="C171" s="3">
        <v>84956.85379975781</v>
      </c>
      <c r="D171" s="2">
        <v>83177.17</v>
      </c>
      <c r="E171" s="2">
        <f t="shared" si="27"/>
        <v>0</v>
      </c>
      <c r="F171" s="2">
        <f t="shared" si="28"/>
        <v>-83177.17</v>
      </c>
      <c r="G171" s="2">
        <f t="shared" si="29"/>
        <v>0</v>
      </c>
      <c r="H171">
        <v>0</v>
      </c>
      <c r="I171" s="3">
        <v>0</v>
      </c>
      <c r="J171" s="2" t="e">
        <f t="shared" si="30"/>
        <v>#DIV/0!</v>
      </c>
      <c r="K171" s="2"/>
      <c r="L171" s="2"/>
      <c r="M171" s="2"/>
      <c r="N171" s="2"/>
      <c r="O171" s="2"/>
      <c r="P171" s="2"/>
      <c r="Q171" s="3"/>
      <c r="R171" s="17"/>
    </row>
    <row r="172" spans="1:18" x14ac:dyDescent="0.3">
      <c r="B172" s="11">
        <v>46163</v>
      </c>
      <c r="C172" s="3">
        <v>84956.85379975781</v>
      </c>
      <c r="D172" s="2">
        <v>83177.17</v>
      </c>
      <c r="E172" s="2">
        <f t="shared" si="27"/>
        <v>0</v>
      </c>
      <c r="F172" s="2">
        <f t="shared" si="28"/>
        <v>-83177.17</v>
      </c>
      <c r="G172" s="2">
        <f t="shared" si="29"/>
        <v>0</v>
      </c>
      <c r="H172">
        <v>0</v>
      </c>
      <c r="I172" s="3">
        <v>0</v>
      </c>
      <c r="J172" s="2" t="e">
        <f t="shared" si="30"/>
        <v>#DIV/0!</v>
      </c>
      <c r="K172" s="2"/>
      <c r="L172" s="2"/>
      <c r="M172" s="2"/>
      <c r="N172" s="2"/>
      <c r="O172" s="2"/>
      <c r="P172" s="2"/>
      <c r="Q172" s="3"/>
      <c r="R172" s="17"/>
    </row>
    <row r="173" spans="1:18" x14ac:dyDescent="0.3">
      <c r="B173" s="11">
        <v>46164</v>
      </c>
      <c r="C173" s="3">
        <v>84956.85379975781</v>
      </c>
      <c r="D173" s="2">
        <v>83177.17</v>
      </c>
      <c r="E173" s="2">
        <f t="shared" si="27"/>
        <v>0</v>
      </c>
      <c r="F173" s="2">
        <f t="shared" si="28"/>
        <v>-83177.17</v>
      </c>
      <c r="G173" s="2">
        <f t="shared" si="29"/>
        <v>0</v>
      </c>
      <c r="H173">
        <v>0</v>
      </c>
      <c r="I173" s="3">
        <v>0</v>
      </c>
      <c r="J173" s="2" t="e">
        <f t="shared" si="30"/>
        <v>#DIV/0!</v>
      </c>
      <c r="K173" s="2"/>
      <c r="L173" s="2"/>
      <c r="M173" s="2"/>
      <c r="N173" s="2"/>
      <c r="O173" s="2"/>
      <c r="P173" s="2"/>
      <c r="Q173" s="3"/>
      <c r="R173" s="17"/>
    </row>
    <row r="174" spans="1:18" x14ac:dyDescent="0.3">
      <c r="B174" s="11">
        <v>46167</v>
      </c>
      <c r="C174" s="3">
        <v>84956.85379975781</v>
      </c>
      <c r="D174" s="2">
        <v>83177.17</v>
      </c>
      <c r="E174" s="2">
        <f t="shared" si="27"/>
        <v>0</v>
      </c>
      <c r="F174" s="2">
        <f t="shared" si="28"/>
        <v>-83177.17</v>
      </c>
      <c r="G174" s="2">
        <f t="shared" si="29"/>
        <v>0</v>
      </c>
      <c r="H174">
        <v>0</v>
      </c>
      <c r="I174" s="3">
        <v>0</v>
      </c>
      <c r="J174" s="2" t="e">
        <f t="shared" si="30"/>
        <v>#DIV/0!</v>
      </c>
      <c r="K174" s="2"/>
      <c r="L174" s="2"/>
      <c r="M174" s="2"/>
      <c r="N174" s="2"/>
      <c r="O174" s="2"/>
      <c r="P174" s="2"/>
    </row>
    <row r="175" spans="1:18" x14ac:dyDescent="0.3">
      <c r="B175" s="11">
        <v>46168</v>
      </c>
      <c r="C175" s="3">
        <v>84956.85379975781</v>
      </c>
      <c r="D175" s="2">
        <v>83177.17</v>
      </c>
      <c r="E175" s="2">
        <f t="shared" si="27"/>
        <v>0</v>
      </c>
      <c r="F175" s="2">
        <f t="shared" si="28"/>
        <v>-83177.17</v>
      </c>
      <c r="G175" s="2">
        <f t="shared" si="29"/>
        <v>0</v>
      </c>
      <c r="H175">
        <v>0</v>
      </c>
      <c r="I175" s="3">
        <v>0</v>
      </c>
      <c r="J175" s="2" t="e">
        <f t="shared" si="30"/>
        <v>#DIV/0!</v>
      </c>
      <c r="K175" s="2"/>
      <c r="L175" s="2"/>
      <c r="M175" s="2"/>
      <c r="N175" s="2"/>
      <c r="O175" s="2"/>
      <c r="P175" s="2"/>
    </row>
    <row r="176" spans="1:18" x14ac:dyDescent="0.3">
      <c r="B176" s="11">
        <v>46169</v>
      </c>
      <c r="C176" s="3">
        <v>84956.85379975781</v>
      </c>
      <c r="D176" s="2">
        <v>83177.17</v>
      </c>
      <c r="E176" s="2">
        <f t="shared" si="27"/>
        <v>0</v>
      </c>
      <c r="F176" s="2">
        <f t="shared" si="28"/>
        <v>-83177.17</v>
      </c>
      <c r="G176" s="2">
        <f t="shared" si="29"/>
        <v>0</v>
      </c>
      <c r="H176">
        <v>0</v>
      </c>
      <c r="I176" s="3">
        <v>0</v>
      </c>
      <c r="J176" s="2" t="e">
        <f t="shared" si="30"/>
        <v>#DIV/0!</v>
      </c>
      <c r="K176" s="2"/>
      <c r="L176" s="2"/>
      <c r="M176" s="2"/>
      <c r="N176" s="2"/>
      <c r="O176" s="2"/>
      <c r="P176" s="2"/>
    </row>
    <row r="177" spans="2:15" x14ac:dyDescent="0.3">
      <c r="B177" s="11">
        <v>46170</v>
      </c>
      <c r="C177" s="3">
        <v>84956.85379975781</v>
      </c>
      <c r="D177" s="2">
        <v>83177.17</v>
      </c>
      <c r="E177" s="2">
        <f t="shared" si="27"/>
        <v>0</v>
      </c>
      <c r="F177" s="2">
        <f t="shared" si="28"/>
        <v>-83177.17</v>
      </c>
      <c r="G177" s="2">
        <f t="shared" si="29"/>
        <v>0</v>
      </c>
      <c r="H177">
        <v>0</v>
      </c>
      <c r="I177" s="3">
        <v>0</v>
      </c>
      <c r="J177" s="2" t="e">
        <f t="shared" si="30"/>
        <v>#DIV/0!</v>
      </c>
      <c r="K177" s="2"/>
      <c r="L177" s="2"/>
      <c r="M177" s="2"/>
      <c r="N177" s="2"/>
      <c r="O177" s="2"/>
    </row>
    <row r="178" spans="2:15" x14ac:dyDescent="0.3">
      <c r="B178" s="11">
        <v>46171</v>
      </c>
      <c r="C178" s="3">
        <v>84956.85379975781</v>
      </c>
      <c r="D178" s="2">
        <v>83177.17</v>
      </c>
      <c r="E178" s="2">
        <f t="shared" si="27"/>
        <v>0</v>
      </c>
      <c r="F178" s="2">
        <f t="shared" si="28"/>
        <v>-83177.17</v>
      </c>
      <c r="G178" s="2">
        <f t="shared" si="29"/>
        <v>0</v>
      </c>
      <c r="H178">
        <v>0</v>
      </c>
      <c r="I178" s="3">
        <v>0</v>
      </c>
      <c r="J178" s="2" t="e">
        <f t="shared" si="30"/>
        <v>#DIV/0!</v>
      </c>
      <c r="K178" s="2"/>
      <c r="L178" s="2"/>
      <c r="M178" s="2"/>
      <c r="N178" s="2"/>
      <c r="O178" s="2"/>
    </row>
    <row r="179" spans="2:15" x14ac:dyDescent="0.3">
      <c r="B179" s="1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spans="2:15" x14ac:dyDescent="0.3">
      <c r="B180" s="1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spans="2:15" x14ac:dyDescent="0.3">
      <c r="B181" s="1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spans="2:15" x14ac:dyDescent="0.3">
      <c r="B182" s="2"/>
      <c r="C182" s="2"/>
      <c r="D182" s="2"/>
      <c r="E182" s="2"/>
      <c r="F182" s="2"/>
      <c r="G182" s="2"/>
      <c r="H182" s="2"/>
      <c r="I182" s="2"/>
      <c r="J182" s="5"/>
      <c r="K182" s="2"/>
      <c r="M182" s="2"/>
      <c r="N182" s="2"/>
      <c r="O182" s="2"/>
    </row>
    <row r="183" spans="2:15" x14ac:dyDescent="0.3">
      <c r="B183" s="2"/>
      <c r="C183" s="2"/>
      <c r="D183" s="2"/>
      <c r="E183" s="2"/>
      <c r="F183" s="2"/>
      <c r="G183" s="2"/>
      <c r="H183" s="2"/>
      <c r="I183" s="2"/>
      <c r="J183" s="5"/>
      <c r="K183" s="2"/>
      <c r="M183" s="2"/>
      <c r="N183" s="2"/>
      <c r="O183" s="2"/>
    </row>
    <row r="184" spans="2:15" x14ac:dyDescent="0.3">
      <c r="B184" s="2"/>
      <c r="C184" s="2"/>
      <c r="D184" s="2"/>
      <c r="E184" s="2"/>
      <c r="F184" s="2"/>
      <c r="G184" s="2"/>
      <c r="H184" s="2"/>
      <c r="I184" s="2"/>
    </row>
    <row r="185" spans="2:15" x14ac:dyDescent="0.3">
      <c r="B185" s="2"/>
      <c r="C185" s="2"/>
      <c r="D185" s="2"/>
      <c r="E185" s="2"/>
      <c r="F185" s="2"/>
      <c r="G185" s="2"/>
      <c r="H185" s="2"/>
      <c r="I185" s="2"/>
    </row>
    <row r="186" spans="2:15" x14ac:dyDescent="0.3">
      <c r="B186" s="2"/>
      <c r="C186" s="2"/>
      <c r="D186" s="2"/>
      <c r="E186" s="2"/>
      <c r="F186" s="2"/>
      <c r="G186" s="2"/>
      <c r="H186" s="2"/>
      <c r="I186" s="2"/>
    </row>
    <row r="187" spans="2:15" x14ac:dyDescent="0.3">
      <c r="B187" s="2"/>
      <c r="C187" s="2"/>
      <c r="D187" s="2"/>
      <c r="E187" s="2"/>
      <c r="F187" s="2"/>
      <c r="G187" s="2"/>
      <c r="H187" s="2"/>
      <c r="I187" s="2"/>
    </row>
    <row r="188" spans="2:15" x14ac:dyDescent="0.3">
      <c r="B188" s="2"/>
      <c r="C188" s="2"/>
      <c r="D188" s="2"/>
      <c r="E188" s="2"/>
      <c r="F188" s="2"/>
      <c r="G188" s="2"/>
      <c r="H188" s="2"/>
      <c r="I188" s="2"/>
    </row>
    <row r="189" spans="2:15" x14ac:dyDescent="0.3">
      <c r="B189" s="2"/>
      <c r="C189" s="2"/>
      <c r="D189" s="2"/>
      <c r="E189" s="2"/>
      <c r="F189" s="2"/>
      <c r="G189" s="2"/>
      <c r="H189" s="2"/>
      <c r="I189" s="2"/>
    </row>
    <row r="190" spans="2:15" x14ac:dyDescent="0.3">
      <c r="B190" s="2"/>
      <c r="C190" s="2"/>
      <c r="D190" s="2"/>
      <c r="E190" s="2"/>
      <c r="F190" s="2"/>
      <c r="G190" s="2"/>
      <c r="H190" s="2"/>
      <c r="I190" s="2"/>
    </row>
    <row r="191" spans="2:15" x14ac:dyDescent="0.3">
      <c r="B191" s="2"/>
      <c r="C191" s="2"/>
      <c r="D191" s="2"/>
      <c r="E191" s="2"/>
      <c r="F191" s="2"/>
      <c r="G191" s="2"/>
      <c r="H191" s="2"/>
      <c r="I191" s="2"/>
    </row>
    <row r="192" spans="2:15" x14ac:dyDescent="0.3">
      <c r="B192" s="2"/>
      <c r="C192" s="2"/>
      <c r="D192" s="2"/>
      <c r="E192" s="2"/>
      <c r="F192" s="2"/>
      <c r="G192" s="2"/>
      <c r="H192" s="2"/>
      <c r="I192" s="2"/>
    </row>
    <row r="193" spans="1:18" x14ac:dyDescent="0.3">
      <c r="B193" s="2"/>
      <c r="C193" s="2"/>
      <c r="D193" s="2"/>
      <c r="E193" s="2"/>
      <c r="F193" s="2"/>
      <c r="G193" s="2"/>
      <c r="H193" s="2"/>
      <c r="I193" s="2"/>
    </row>
    <row r="194" spans="1:18" x14ac:dyDescent="0.3">
      <c r="B194" s="2"/>
      <c r="C194" s="2"/>
      <c r="D194" s="2"/>
      <c r="E194" s="2"/>
      <c r="F194" s="2"/>
      <c r="G194" s="2"/>
      <c r="H194" s="2"/>
      <c r="I194" s="2"/>
    </row>
    <row r="195" spans="1:18" x14ac:dyDescent="0.3">
      <c r="B195" s="2"/>
      <c r="C195" s="2"/>
      <c r="D195" s="2"/>
      <c r="E195" s="2"/>
      <c r="F195" s="2"/>
      <c r="G195" s="2"/>
      <c r="H195" s="2"/>
      <c r="I195" s="2"/>
    </row>
    <row r="196" spans="1:18" x14ac:dyDescent="0.3">
      <c r="B196" s="2"/>
      <c r="C196" s="2"/>
      <c r="D196" s="2"/>
      <c r="E196" s="2"/>
      <c r="F196" s="2"/>
      <c r="G196" s="2"/>
      <c r="H196" s="2"/>
      <c r="I196" s="2"/>
    </row>
    <row r="197" spans="1:18" x14ac:dyDescent="0.3">
      <c r="B197" s="2"/>
      <c r="C197" s="2"/>
      <c r="D197" s="2"/>
      <c r="E197" s="2"/>
      <c r="F197" s="2"/>
      <c r="G197" s="2"/>
      <c r="H197" s="2"/>
      <c r="I197" s="2"/>
    </row>
    <row r="198" spans="1:18" x14ac:dyDescent="0.3">
      <c r="B198" s="2"/>
      <c r="C198" s="2"/>
      <c r="D198" s="2"/>
      <c r="E198" s="2"/>
      <c r="F198" s="2"/>
      <c r="G198" s="2"/>
      <c r="H198" s="2"/>
      <c r="I198" s="2"/>
    </row>
    <row r="199" spans="1:18" x14ac:dyDescent="0.3">
      <c r="B199" s="2"/>
      <c r="C199" s="2"/>
      <c r="D199" s="2"/>
      <c r="E199" s="2"/>
      <c r="F199" s="2"/>
      <c r="G199" s="2"/>
      <c r="H199" s="2"/>
      <c r="I199" s="2"/>
    </row>
    <row r="200" spans="1:18" x14ac:dyDescent="0.3">
      <c r="B200" s="2"/>
      <c r="C200" s="2"/>
      <c r="D200" s="2"/>
      <c r="E200" s="2"/>
      <c r="F200" s="2"/>
      <c r="G200" s="2"/>
      <c r="H200" s="2"/>
      <c r="I200" s="2"/>
    </row>
    <row r="201" spans="1:18" x14ac:dyDescent="0.3">
      <c r="B201" s="2"/>
      <c r="C201" s="2"/>
      <c r="D201" s="2"/>
      <c r="E201" s="2"/>
      <c r="F201" s="2"/>
      <c r="G201" s="2"/>
      <c r="H201" s="2"/>
      <c r="I201" s="2"/>
    </row>
    <row r="202" spans="1:18" x14ac:dyDescent="0.3">
      <c r="B202" s="2"/>
      <c r="C202" s="2"/>
      <c r="D202" s="2"/>
      <c r="E202" s="2"/>
      <c r="F202" s="2"/>
      <c r="G202" s="2"/>
      <c r="H202" s="2"/>
      <c r="I202" s="2"/>
    </row>
    <row r="203" spans="1:18" x14ac:dyDescent="0.3">
      <c r="B203" s="2"/>
      <c r="C203" s="2"/>
      <c r="D203" s="2"/>
      <c r="E203" s="2"/>
      <c r="F203" s="2"/>
      <c r="G203" s="2"/>
      <c r="H203" s="2"/>
      <c r="I203" s="2"/>
    </row>
    <row r="204" spans="1:18" x14ac:dyDescent="0.3">
      <c r="B204" s="2"/>
      <c r="C204" s="2"/>
      <c r="D204" s="2"/>
      <c r="E204" s="2"/>
      <c r="F204" s="2"/>
      <c r="G204" s="2"/>
      <c r="H204" s="2"/>
      <c r="I204" s="2"/>
    </row>
    <row r="207" spans="1:18" s="4" customFormat="1" x14ac:dyDescent="0.3">
      <c r="A207" s="5"/>
      <c r="B207"/>
      <c r="C207"/>
      <c r="D207"/>
      <c r="E207"/>
      <c r="F207"/>
      <c r="G207"/>
      <c r="H207"/>
      <c r="I207"/>
      <c r="J207"/>
      <c r="K207" s="5"/>
      <c r="L207"/>
      <c r="M207"/>
      <c r="N207"/>
      <c r="O207"/>
      <c r="P207"/>
      <c r="Q207"/>
      <c r="R207"/>
    </row>
    <row r="208" spans="1:18" s="4" customFormat="1" x14ac:dyDescent="0.3">
      <c r="A208" s="5"/>
      <c r="B208"/>
      <c r="C208"/>
      <c r="D208"/>
      <c r="E208"/>
      <c r="F208"/>
      <c r="G208"/>
      <c r="H208"/>
      <c r="I208"/>
      <c r="J208"/>
      <c r="K208" s="5"/>
      <c r="L208"/>
      <c r="M208"/>
      <c r="N208"/>
      <c r="O208"/>
      <c r="P208"/>
      <c r="Q208"/>
      <c r="R208"/>
    </row>
    <row r="209" spans="1:18" s="4" customFormat="1" x14ac:dyDescent="0.3">
      <c r="A209" s="5"/>
      <c r="B209"/>
      <c r="C209"/>
      <c r="D209"/>
      <c r="E209"/>
      <c r="F209"/>
      <c r="G209"/>
      <c r="H209"/>
      <c r="I209"/>
      <c r="J209"/>
      <c r="K209" s="5"/>
      <c r="L209"/>
      <c r="M209"/>
      <c r="N209"/>
      <c r="O209"/>
      <c r="P209"/>
      <c r="Q209"/>
      <c r="R209"/>
    </row>
    <row r="210" spans="1:18" s="4" customFormat="1" x14ac:dyDescent="0.3">
      <c r="A210" s="5"/>
      <c r="B210"/>
      <c r="C210"/>
      <c r="D210"/>
      <c r="E210"/>
      <c r="F210"/>
      <c r="G210"/>
      <c r="H210"/>
      <c r="I210"/>
      <c r="J210"/>
      <c r="K210" s="5"/>
      <c r="L210"/>
      <c r="M210"/>
      <c r="N210"/>
      <c r="O210"/>
      <c r="P210"/>
      <c r="Q210"/>
      <c r="R210"/>
    </row>
    <row r="211" spans="1:18" s="4" customFormat="1" x14ac:dyDescent="0.3">
      <c r="A211" s="5"/>
      <c r="B211"/>
      <c r="C211"/>
      <c r="D211"/>
      <c r="E211"/>
      <c r="F211"/>
      <c r="G211"/>
      <c r="H211"/>
      <c r="I211"/>
      <c r="J211"/>
      <c r="K211" s="5"/>
      <c r="L211"/>
      <c r="M211"/>
      <c r="N211"/>
      <c r="O211"/>
      <c r="P211"/>
      <c r="Q211"/>
      <c r="R211"/>
    </row>
    <row r="212" spans="1:18" s="4" customFormat="1" x14ac:dyDescent="0.3">
      <c r="A212" s="5"/>
      <c r="B212"/>
      <c r="C212"/>
      <c r="D212"/>
      <c r="E212"/>
      <c r="F212"/>
      <c r="G212"/>
      <c r="H212"/>
      <c r="I212"/>
      <c r="J212"/>
      <c r="K212" s="5"/>
      <c r="L212"/>
      <c r="M212"/>
      <c r="N212"/>
      <c r="O212"/>
      <c r="P212"/>
      <c r="Q212"/>
      <c r="R212"/>
    </row>
    <row r="213" spans="1:18" s="4" customFormat="1" x14ac:dyDescent="0.3">
      <c r="A213" s="5"/>
      <c r="B213"/>
      <c r="C213"/>
      <c r="D213"/>
      <c r="E213"/>
      <c r="F213"/>
      <c r="G213"/>
      <c r="H213"/>
      <c r="I213"/>
      <c r="J213"/>
      <c r="K213" s="5"/>
      <c r="L213"/>
      <c r="M213"/>
      <c r="N213"/>
      <c r="O213"/>
      <c r="P213"/>
      <c r="Q213"/>
      <c r="R213"/>
    </row>
    <row r="214" spans="1:18" s="4" customFormat="1" x14ac:dyDescent="0.3">
      <c r="A214" s="5"/>
      <c r="B214"/>
      <c r="C214"/>
      <c r="D214"/>
      <c r="E214"/>
      <c r="F214"/>
      <c r="G214"/>
      <c r="H214"/>
      <c r="I214"/>
      <c r="J214"/>
      <c r="K214" s="5"/>
      <c r="L214"/>
      <c r="M214"/>
      <c r="N214"/>
      <c r="O214"/>
      <c r="P214"/>
      <c r="Q214"/>
      <c r="R214"/>
    </row>
    <row r="215" spans="1:18" s="4" customFormat="1" x14ac:dyDescent="0.3">
      <c r="A215" s="5"/>
      <c r="B215"/>
      <c r="C215"/>
      <c r="D215"/>
      <c r="E215"/>
      <c r="F215"/>
      <c r="G215"/>
      <c r="H215"/>
      <c r="I215"/>
      <c r="J215"/>
      <c r="K215" s="5"/>
      <c r="L215"/>
      <c r="M215"/>
      <c r="N215"/>
      <c r="O215"/>
      <c r="P215"/>
      <c r="Q215"/>
      <c r="R215"/>
    </row>
    <row r="216" spans="1:18" s="4" customFormat="1" x14ac:dyDescent="0.3">
      <c r="A216" s="5"/>
      <c r="B216"/>
      <c r="C216"/>
      <c r="D216"/>
      <c r="E216"/>
      <c r="F216"/>
      <c r="G216"/>
      <c r="H216"/>
      <c r="I216"/>
      <c r="J216"/>
      <c r="K216" s="5"/>
      <c r="L216"/>
      <c r="M216"/>
      <c r="N216"/>
      <c r="O216"/>
      <c r="P216"/>
      <c r="Q216"/>
      <c r="R216"/>
    </row>
    <row r="217" spans="1:18" s="4" customFormat="1" x14ac:dyDescent="0.3">
      <c r="A217" s="5"/>
      <c r="B217"/>
      <c r="C217"/>
      <c r="D217"/>
      <c r="E217"/>
      <c r="F217"/>
      <c r="G217"/>
      <c r="H217"/>
      <c r="I217"/>
      <c r="J217"/>
      <c r="K217" s="5"/>
      <c r="L217"/>
      <c r="M217"/>
      <c r="N217"/>
      <c r="O217"/>
      <c r="P217"/>
      <c r="Q217"/>
      <c r="R217"/>
    </row>
    <row r="218" spans="1:18" s="4" customFormat="1" x14ac:dyDescent="0.3">
      <c r="A218" s="5"/>
      <c r="B218"/>
      <c r="C218"/>
      <c r="D218"/>
      <c r="E218"/>
      <c r="F218"/>
      <c r="G218"/>
      <c r="H218"/>
      <c r="I218"/>
      <c r="J218"/>
      <c r="K218" s="5"/>
      <c r="L218"/>
      <c r="M218"/>
      <c r="N218"/>
      <c r="O218"/>
      <c r="P218"/>
      <c r="Q218"/>
      <c r="R218"/>
    </row>
    <row r="219" spans="1:18" s="4" customFormat="1" x14ac:dyDescent="0.3">
      <c r="A219" s="5"/>
      <c r="B219"/>
      <c r="C219"/>
      <c r="D219"/>
      <c r="E219"/>
      <c r="F219"/>
      <c r="G219"/>
      <c r="H219"/>
      <c r="I219"/>
      <c r="J219"/>
      <c r="K219" s="5"/>
      <c r="L219"/>
      <c r="M219"/>
      <c r="N219"/>
      <c r="O219"/>
      <c r="P219"/>
      <c r="Q219"/>
      <c r="R219"/>
    </row>
    <row r="220" spans="1:18" s="4" customFormat="1" x14ac:dyDescent="0.3">
      <c r="A220" s="5"/>
      <c r="B220"/>
      <c r="C220"/>
      <c r="D220"/>
      <c r="E220"/>
      <c r="F220"/>
      <c r="G220"/>
      <c r="H220"/>
      <c r="I220"/>
      <c r="J220"/>
      <c r="K220" s="5"/>
      <c r="L220"/>
      <c r="M220"/>
      <c r="N220"/>
      <c r="O220"/>
      <c r="P220"/>
      <c r="Q220"/>
      <c r="R220"/>
    </row>
    <row r="221" spans="1:18" s="4" customFormat="1" x14ac:dyDescent="0.3">
      <c r="A221" s="5"/>
      <c r="B221"/>
      <c r="C221"/>
      <c r="D221"/>
      <c r="E221"/>
      <c r="F221"/>
      <c r="G221"/>
      <c r="H221"/>
      <c r="I221"/>
      <c r="J221"/>
      <c r="K221" s="5"/>
      <c r="L221"/>
      <c r="M221"/>
      <c r="N221"/>
      <c r="O221"/>
      <c r="P221"/>
      <c r="Q221"/>
      <c r="R221"/>
    </row>
    <row r="222" spans="1:18" s="4" customFormat="1" x14ac:dyDescent="0.3">
      <c r="A222" s="5"/>
      <c r="B222"/>
      <c r="C222"/>
      <c r="D222"/>
      <c r="E222"/>
      <c r="F222"/>
      <c r="G222"/>
      <c r="H222"/>
      <c r="I222"/>
      <c r="J222"/>
      <c r="K222" s="5"/>
      <c r="L222"/>
      <c r="M222"/>
      <c r="N222"/>
      <c r="O222"/>
      <c r="P222"/>
      <c r="Q222"/>
      <c r="R222"/>
    </row>
    <row r="223" spans="1:18" s="4" customFormat="1" x14ac:dyDescent="0.3">
      <c r="A223" s="5"/>
      <c r="B223"/>
      <c r="C223"/>
      <c r="D223"/>
      <c r="E223"/>
      <c r="F223"/>
      <c r="G223"/>
      <c r="H223"/>
      <c r="I223"/>
      <c r="J223"/>
      <c r="K223" s="5"/>
      <c r="L223"/>
      <c r="M223"/>
      <c r="N223"/>
      <c r="O223"/>
      <c r="P223"/>
      <c r="Q223"/>
      <c r="R223"/>
    </row>
    <row r="224" spans="1:18" s="4" customFormat="1" x14ac:dyDescent="0.3">
      <c r="A224" s="5"/>
      <c r="B224"/>
      <c r="C224"/>
      <c r="D224"/>
      <c r="E224"/>
      <c r="F224"/>
      <c r="G224"/>
      <c r="H224"/>
      <c r="I224"/>
      <c r="J224"/>
      <c r="K224" s="5"/>
      <c r="L224"/>
      <c r="M224"/>
      <c r="N224"/>
      <c r="O224"/>
      <c r="P224"/>
      <c r="Q224"/>
      <c r="R224"/>
    </row>
    <row r="225" spans="1:18" s="4" customFormat="1" x14ac:dyDescent="0.3">
      <c r="A225" s="5"/>
      <c r="B225"/>
      <c r="C225"/>
      <c r="D225"/>
      <c r="E225"/>
      <c r="F225"/>
      <c r="G225"/>
      <c r="H225"/>
      <c r="I225"/>
      <c r="J225"/>
      <c r="K225" s="5"/>
      <c r="L225"/>
      <c r="M225"/>
      <c r="N225"/>
      <c r="O225"/>
      <c r="P225"/>
      <c r="Q225"/>
      <c r="R225"/>
    </row>
    <row r="226" spans="1:18" s="4" customFormat="1" x14ac:dyDescent="0.3">
      <c r="A226" s="5"/>
      <c r="B226"/>
      <c r="C226"/>
      <c r="D226"/>
      <c r="E226"/>
      <c r="F226"/>
      <c r="G226"/>
      <c r="H226"/>
      <c r="I226"/>
      <c r="J226"/>
      <c r="K226" s="5"/>
      <c r="L226"/>
      <c r="M226"/>
      <c r="N226"/>
      <c r="O226"/>
      <c r="P226"/>
      <c r="Q226"/>
      <c r="R226"/>
    </row>
    <row r="227" spans="1:18" s="4" customFormat="1" x14ac:dyDescent="0.3">
      <c r="A227" s="5"/>
      <c r="B227"/>
      <c r="C227"/>
      <c r="D227"/>
      <c r="E227"/>
      <c r="F227"/>
      <c r="G227"/>
      <c r="H227"/>
      <c r="I227"/>
      <c r="J227"/>
      <c r="K227" s="5"/>
      <c r="L227"/>
      <c r="M227"/>
      <c r="N227"/>
      <c r="O227"/>
      <c r="P227"/>
      <c r="Q227"/>
      <c r="R227"/>
    </row>
    <row r="228" spans="1:18" s="4" customFormat="1" x14ac:dyDescent="0.3">
      <c r="A228" s="5"/>
      <c r="B228"/>
      <c r="C228"/>
      <c r="D228"/>
      <c r="E228"/>
      <c r="F228"/>
      <c r="G228"/>
      <c r="H228"/>
      <c r="I228"/>
      <c r="J228"/>
      <c r="K228" s="5"/>
      <c r="L228"/>
      <c r="M228"/>
      <c r="N228"/>
      <c r="O228"/>
      <c r="P228"/>
      <c r="Q228"/>
      <c r="R228"/>
    </row>
    <row r="229" spans="1:18" s="4" customFormat="1" x14ac:dyDescent="0.3">
      <c r="A229" s="5"/>
      <c r="B229"/>
      <c r="C229"/>
      <c r="D229"/>
      <c r="E229"/>
      <c r="F229"/>
      <c r="G229"/>
      <c r="H229"/>
      <c r="I229"/>
      <c r="J229"/>
      <c r="K229" s="5"/>
      <c r="L229"/>
      <c r="M229"/>
      <c r="N229"/>
      <c r="O229"/>
      <c r="P229"/>
      <c r="Q229"/>
      <c r="R229"/>
    </row>
    <row r="230" spans="1:18" s="4" customFormat="1" x14ac:dyDescent="0.3">
      <c r="A230" s="5"/>
      <c r="B230"/>
      <c r="C230"/>
      <c r="D230"/>
      <c r="E230"/>
      <c r="F230"/>
      <c r="G230"/>
      <c r="H230"/>
      <c r="I230"/>
      <c r="J230"/>
      <c r="K230" s="5"/>
      <c r="L230"/>
      <c r="M230"/>
      <c r="N230"/>
      <c r="O230"/>
      <c r="P230"/>
      <c r="Q230"/>
      <c r="R230"/>
    </row>
    <row r="231" spans="1:18" s="4" customFormat="1" x14ac:dyDescent="0.3">
      <c r="A231" s="5"/>
      <c r="B231"/>
      <c r="C231"/>
      <c r="D231"/>
      <c r="E231"/>
      <c r="F231"/>
      <c r="G231"/>
      <c r="H231"/>
      <c r="I231"/>
      <c r="J231"/>
      <c r="K231" s="5"/>
      <c r="L231"/>
      <c r="M231"/>
      <c r="N231"/>
      <c r="O231"/>
      <c r="P231"/>
      <c r="Q231"/>
      <c r="R231"/>
    </row>
    <row r="232" spans="1:18" s="4" customFormat="1" x14ac:dyDescent="0.3">
      <c r="A232" s="5"/>
      <c r="B232"/>
      <c r="C232"/>
      <c r="D232"/>
      <c r="E232"/>
      <c r="F232"/>
      <c r="G232"/>
      <c r="H232"/>
      <c r="I232"/>
      <c r="J232"/>
      <c r="K232" s="5"/>
      <c r="L232"/>
      <c r="M232"/>
      <c r="N232"/>
      <c r="O232"/>
      <c r="P232"/>
      <c r="Q232"/>
      <c r="R232"/>
    </row>
    <row r="233" spans="1:18" s="4" customFormat="1" x14ac:dyDescent="0.3">
      <c r="A233" s="5"/>
      <c r="B233"/>
      <c r="C233"/>
      <c r="D233"/>
      <c r="E233"/>
      <c r="F233"/>
      <c r="G233"/>
      <c r="H233"/>
      <c r="I233"/>
      <c r="J233"/>
      <c r="K233" s="5"/>
      <c r="L233"/>
      <c r="M233"/>
      <c r="N233"/>
      <c r="O233"/>
      <c r="P233"/>
      <c r="Q233"/>
      <c r="R233"/>
    </row>
    <row r="234" spans="1:18" s="4" customFormat="1" x14ac:dyDescent="0.3">
      <c r="A234" s="5"/>
      <c r="B234"/>
      <c r="C234"/>
      <c r="D234"/>
      <c r="E234"/>
      <c r="F234"/>
      <c r="G234"/>
      <c r="H234"/>
      <c r="I234"/>
      <c r="J234"/>
      <c r="K234" s="5"/>
      <c r="L234"/>
      <c r="M234"/>
      <c r="N234"/>
      <c r="O234"/>
      <c r="P234"/>
      <c r="Q234"/>
      <c r="R234"/>
    </row>
    <row r="235" spans="1:18" s="4" customFormat="1" x14ac:dyDescent="0.3">
      <c r="A235" s="5"/>
      <c r="B235"/>
      <c r="C235"/>
      <c r="D235"/>
      <c r="E235"/>
      <c r="F235"/>
      <c r="G235"/>
      <c r="H235"/>
      <c r="I235"/>
      <c r="J235"/>
      <c r="K235" s="5"/>
      <c r="L235"/>
      <c r="M235"/>
      <c r="N235"/>
      <c r="O235"/>
      <c r="P235"/>
      <c r="Q235"/>
      <c r="R235"/>
    </row>
    <row r="236" spans="1:18" s="4" customFormat="1" x14ac:dyDescent="0.3">
      <c r="A236" s="5"/>
      <c r="B236"/>
      <c r="C236"/>
      <c r="D236"/>
      <c r="E236"/>
      <c r="F236"/>
      <c r="G236"/>
      <c r="H236"/>
      <c r="I236"/>
      <c r="J236"/>
      <c r="K236" s="5"/>
      <c r="L236"/>
      <c r="M236"/>
      <c r="N236"/>
      <c r="O236"/>
      <c r="P236"/>
      <c r="Q236"/>
      <c r="R236"/>
    </row>
    <row r="237" spans="1:18" s="4" customFormat="1" x14ac:dyDescent="0.3">
      <c r="A237" s="5"/>
      <c r="B237"/>
      <c r="C237"/>
      <c r="D237"/>
      <c r="E237"/>
      <c r="F237"/>
      <c r="G237"/>
      <c r="H237"/>
      <c r="I237"/>
      <c r="J237"/>
      <c r="K237" s="5"/>
      <c r="L237"/>
      <c r="M237"/>
      <c r="N237"/>
      <c r="O237"/>
      <c r="P237"/>
      <c r="Q237"/>
      <c r="R237"/>
    </row>
    <row r="238" spans="1:18" s="4" customFormat="1" x14ac:dyDescent="0.3">
      <c r="A238" s="5"/>
      <c r="B238"/>
      <c r="C238"/>
      <c r="D238"/>
      <c r="E238"/>
      <c r="F238"/>
      <c r="G238"/>
      <c r="H238"/>
      <c r="I238"/>
      <c r="J238"/>
      <c r="K238" s="5"/>
      <c r="L238"/>
      <c r="M238"/>
      <c r="N238"/>
      <c r="O238"/>
      <c r="P238"/>
      <c r="Q238"/>
      <c r="R238"/>
    </row>
    <row r="239" spans="1:18" s="4" customFormat="1" x14ac:dyDescent="0.3">
      <c r="A239" s="5"/>
      <c r="B239"/>
      <c r="C239"/>
      <c r="D239"/>
      <c r="E239"/>
      <c r="F239"/>
      <c r="G239"/>
      <c r="H239"/>
      <c r="I239"/>
      <c r="J239"/>
      <c r="K239" s="5"/>
      <c r="L239"/>
      <c r="M239"/>
      <c r="N239"/>
      <c r="O239"/>
      <c r="P239"/>
      <c r="Q239"/>
      <c r="R239"/>
    </row>
    <row r="240" spans="1:18" s="4" customFormat="1" x14ac:dyDescent="0.3">
      <c r="A240" s="5"/>
      <c r="B240"/>
      <c r="C240"/>
      <c r="D240"/>
      <c r="E240"/>
      <c r="F240"/>
      <c r="G240"/>
      <c r="H240"/>
      <c r="I240"/>
      <c r="J240"/>
      <c r="K240" s="5"/>
      <c r="L240"/>
      <c r="M240"/>
      <c r="N240"/>
      <c r="O240"/>
      <c r="P240"/>
      <c r="Q240"/>
      <c r="R240"/>
    </row>
    <row r="241" spans="1:18" s="4" customFormat="1" x14ac:dyDescent="0.3">
      <c r="A241" s="5"/>
      <c r="B241"/>
      <c r="C241"/>
      <c r="D241"/>
      <c r="E241"/>
      <c r="F241"/>
      <c r="G241"/>
      <c r="H241"/>
      <c r="I241"/>
      <c r="J241"/>
      <c r="K241" s="5"/>
      <c r="L241"/>
      <c r="M241"/>
      <c r="N241"/>
      <c r="O241"/>
      <c r="P241"/>
      <c r="Q241"/>
      <c r="R241"/>
    </row>
    <row r="242" spans="1:18" s="4" customFormat="1" x14ac:dyDescent="0.3">
      <c r="A242" s="5"/>
      <c r="B242"/>
      <c r="C242"/>
      <c r="D242"/>
      <c r="E242"/>
      <c r="F242"/>
      <c r="G242"/>
      <c r="H242"/>
      <c r="I242"/>
      <c r="J242"/>
      <c r="K242" s="5"/>
      <c r="L242"/>
      <c r="M242"/>
      <c r="N242"/>
      <c r="O242"/>
      <c r="P242"/>
      <c r="Q242"/>
      <c r="R242"/>
    </row>
    <row r="243" spans="1:18" s="4" customFormat="1" x14ac:dyDescent="0.3">
      <c r="A243" s="5"/>
      <c r="B243"/>
      <c r="C243"/>
      <c r="D243"/>
      <c r="E243"/>
      <c r="F243"/>
      <c r="G243"/>
      <c r="H243"/>
      <c r="I243"/>
      <c r="J243"/>
      <c r="K243" s="5"/>
      <c r="L243"/>
      <c r="M243"/>
      <c r="N243"/>
      <c r="O243"/>
      <c r="P243"/>
      <c r="Q243"/>
      <c r="R243"/>
    </row>
    <row r="244" spans="1:18" s="4" customFormat="1" x14ac:dyDescent="0.3">
      <c r="A244" s="5"/>
      <c r="B244"/>
      <c r="C244"/>
      <c r="D244"/>
      <c r="E244"/>
      <c r="F244"/>
      <c r="G244"/>
      <c r="H244"/>
      <c r="I244"/>
      <c r="J244"/>
      <c r="K244" s="5"/>
      <c r="L244"/>
      <c r="M244"/>
      <c r="N244"/>
      <c r="O244"/>
      <c r="P244"/>
      <c r="Q244"/>
      <c r="R244"/>
    </row>
    <row r="245" spans="1:18" s="4" customFormat="1" x14ac:dyDescent="0.3">
      <c r="A245" s="5"/>
      <c r="B245"/>
      <c r="C245"/>
      <c r="D245"/>
      <c r="E245"/>
      <c r="F245"/>
      <c r="G245"/>
      <c r="H245"/>
      <c r="I245"/>
      <c r="J245"/>
      <c r="K245" s="5"/>
      <c r="L245"/>
      <c r="M245"/>
      <c r="N245"/>
      <c r="O245"/>
      <c r="P245"/>
      <c r="Q245"/>
      <c r="R245"/>
    </row>
    <row r="246" spans="1:18" s="4" customFormat="1" x14ac:dyDescent="0.3">
      <c r="A246" s="5"/>
      <c r="B246"/>
      <c r="C246"/>
      <c r="D246"/>
      <c r="E246"/>
      <c r="F246"/>
      <c r="G246"/>
      <c r="H246"/>
      <c r="I246"/>
      <c r="J246"/>
      <c r="K246" s="5"/>
      <c r="L246"/>
      <c r="M246"/>
      <c r="N246"/>
      <c r="O246"/>
      <c r="P246"/>
      <c r="Q246"/>
      <c r="R246"/>
    </row>
    <row r="247" spans="1:18" s="4" customFormat="1" x14ac:dyDescent="0.3">
      <c r="A247" s="5"/>
      <c r="B247"/>
      <c r="C247"/>
      <c r="D247"/>
      <c r="E247"/>
      <c r="F247"/>
      <c r="G247"/>
      <c r="H247"/>
      <c r="I247"/>
      <c r="J247"/>
      <c r="K247" s="5"/>
      <c r="L247"/>
      <c r="M247"/>
      <c r="N247"/>
      <c r="O247"/>
      <c r="P247"/>
      <c r="Q247"/>
      <c r="R247"/>
    </row>
    <row r="248" spans="1:18" s="4" customFormat="1" x14ac:dyDescent="0.3">
      <c r="A248" s="5"/>
      <c r="B248"/>
      <c r="C248"/>
      <c r="D248"/>
      <c r="E248"/>
      <c r="F248"/>
      <c r="G248"/>
      <c r="H248"/>
      <c r="I248"/>
      <c r="J248"/>
      <c r="K248" s="5"/>
      <c r="L248"/>
      <c r="M248"/>
      <c r="N248"/>
      <c r="O248"/>
      <c r="P248"/>
      <c r="Q248"/>
      <c r="R248"/>
    </row>
    <row r="249" spans="1:18" s="4" customFormat="1" x14ac:dyDescent="0.3">
      <c r="A249" s="5"/>
      <c r="B249"/>
      <c r="C249"/>
      <c r="D249"/>
      <c r="E249"/>
      <c r="F249"/>
      <c r="G249"/>
      <c r="H249"/>
      <c r="I249"/>
      <c r="J249"/>
      <c r="K249" s="5"/>
      <c r="L249"/>
      <c r="M249"/>
      <c r="N249"/>
      <c r="O249"/>
      <c r="P249"/>
      <c r="Q249"/>
      <c r="R249"/>
    </row>
    <row r="250" spans="1:18" s="4" customFormat="1" x14ac:dyDescent="0.3">
      <c r="A250" s="5"/>
      <c r="B250"/>
      <c r="C250"/>
      <c r="D250"/>
      <c r="E250"/>
      <c r="F250"/>
      <c r="G250"/>
      <c r="H250"/>
      <c r="I250"/>
      <c r="J250"/>
      <c r="K250" s="5"/>
      <c r="L250"/>
      <c r="M250"/>
      <c r="N250"/>
      <c r="O250"/>
      <c r="P250"/>
      <c r="Q250"/>
      <c r="R250"/>
    </row>
    <row r="251" spans="1:18" s="4" customFormat="1" x14ac:dyDescent="0.3">
      <c r="A251" s="5"/>
      <c r="B251"/>
      <c r="C251"/>
      <c r="D251"/>
      <c r="E251"/>
      <c r="F251"/>
      <c r="G251"/>
      <c r="H251"/>
      <c r="I251"/>
      <c r="J251"/>
      <c r="K251" s="5"/>
      <c r="L251"/>
      <c r="M251"/>
      <c r="N251"/>
      <c r="O251"/>
      <c r="P251"/>
      <c r="Q251"/>
      <c r="R251"/>
    </row>
    <row r="252" spans="1:18" s="4" customFormat="1" x14ac:dyDescent="0.3">
      <c r="A252" s="5"/>
      <c r="B252"/>
      <c r="C252"/>
      <c r="D252"/>
      <c r="E252"/>
      <c r="F252"/>
      <c r="G252"/>
      <c r="H252"/>
      <c r="I252"/>
      <c r="J252"/>
      <c r="K252" s="5"/>
      <c r="L252"/>
      <c r="M252"/>
      <c r="N252"/>
      <c r="O252"/>
      <c r="P252"/>
      <c r="Q252"/>
      <c r="R252"/>
    </row>
    <row r="253" spans="1:18" s="4" customFormat="1" x14ac:dyDescent="0.3">
      <c r="A253" s="5"/>
      <c r="B253"/>
      <c r="C253"/>
      <c r="D253"/>
      <c r="E253"/>
      <c r="F253"/>
      <c r="G253"/>
      <c r="H253"/>
      <c r="I253"/>
      <c r="J253"/>
      <c r="K253" s="5"/>
      <c r="L253"/>
      <c r="M253"/>
      <c r="N253"/>
      <c r="O253"/>
      <c r="P253"/>
      <c r="Q253"/>
      <c r="R253"/>
    </row>
    <row r="254" spans="1:18" s="4" customFormat="1" x14ac:dyDescent="0.3">
      <c r="A254" s="5"/>
      <c r="B254"/>
      <c r="C254"/>
      <c r="D254"/>
      <c r="E254"/>
      <c r="F254"/>
      <c r="G254"/>
      <c r="H254"/>
      <c r="I254"/>
      <c r="J254"/>
      <c r="K254" s="5"/>
      <c r="L254"/>
      <c r="M254"/>
      <c r="N254"/>
      <c r="O254"/>
      <c r="P254"/>
      <c r="Q254"/>
      <c r="R254"/>
    </row>
    <row r="255" spans="1:18" s="4" customFormat="1" x14ac:dyDescent="0.3">
      <c r="A255" s="5"/>
      <c r="B255"/>
      <c r="C255"/>
      <c r="D255"/>
      <c r="E255"/>
      <c r="F255"/>
      <c r="G255"/>
      <c r="H255"/>
      <c r="I255"/>
      <c r="J255"/>
      <c r="K255" s="5"/>
      <c r="L255"/>
      <c r="M255"/>
      <c r="N255"/>
      <c r="O255"/>
      <c r="P255"/>
      <c r="Q255"/>
      <c r="R255"/>
    </row>
    <row r="256" spans="1:18" s="4" customFormat="1" x14ac:dyDescent="0.3">
      <c r="A256" s="5"/>
      <c r="B256"/>
      <c r="C256"/>
      <c r="D256"/>
      <c r="E256"/>
      <c r="F256"/>
      <c r="G256"/>
      <c r="H256"/>
      <c r="I256"/>
      <c r="J256"/>
      <c r="K256" s="5"/>
      <c r="L256"/>
      <c r="M256"/>
      <c r="N256"/>
      <c r="O256"/>
      <c r="P256"/>
      <c r="Q256"/>
      <c r="R256"/>
    </row>
    <row r="257" spans="1:18" s="4" customFormat="1" x14ac:dyDescent="0.3">
      <c r="A257" s="5"/>
      <c r="B257"/>
      <c r="C257"/>
      <c r="D257"/>
      <c r="E257"/>
      <c r="F257"/>
      <c r="G257"/>
      <c r="H257"/>
      <c r="I257"/>
      <c r="J257"/>
      <c r="K257" s="5"/>
      <c r="L257"/>
      <c r="M257"/>
      <c r="N257"/>
      <c r="O257"/>
      <c r="P257"/>
      <c r="Q257"/>
      <c r="R257"/>
    </row>
    <row r="258" spans="1:18" s="4" customFormat="1" x14ac:dyDescent="0.3">
      <c r="A258" s="5"/>
      <c r="B258"/>
      <c r="C258"/>
      <c r="D258"/>
      <c r="E258"/>
      <c r="F258"/>
      <c r="G258"/>
      <c r="H258"/>
      <c r="I258"/>
      <c r="J258"/>
      <c r="K258" s="5"/>
      <c r="L258"/>
      <c r="M258"/>
      <c r="N258"/>
      <c r="O258"/>
      <c r="P258"/>
      <c r="Q258"/>
      <c r="R258"/>
    </row>
    <row r="259" spans="1:18" s="4" customFormat="1" x14ac:dyDescent="0.3">
      <c r="A259" s="5"/>
      <c r="B259"/>
      <c r="C259"/>
      <c r="D259"/>
      <c r="E259"/>
      <c r="F259"/>
      <c r="G259"/>
      <c r="H259"/>
      <c r="I259"/>
      <c r="J259"/>
      <c r="K259" s="5"/>
      <c r="L259"/>
      <c r="M259"/>
      <c r="N259"/>
      <c r="O259"/>
      <c r="P259"/>
      <c r="Q259"/>
      <c r="R259"/>
    </row>
    <row r="260" spans="1:18" s="4" customFormat="1" x14ac:dyDescent="0.3">
      <c r="A260" s="5"/>
      <c r="B260"/>
      <c r="C260"/>
      <c r="D260"/>
      <c r="E260"/>
      <c r="F260"/>
      <c r="G260"/>
      <c r="H260"/>
      <c r="I260"/>
      <c r="J260"/>
      <c r="K260" s="5"/>
      <c r="L260"/>
      <c r="M260"/>
      <c r="N260"/>
      <c r="O260"/>
      <c r="P260"/>
      <c r="Q260"/>
      <c r="R260"/>
    </row>
    <row r="261" spans="1:18" s="4" customFormat="1" x14ac:dyDescent="0.3">
      <c r="A261" s="5"/>
      <c r="B261"/>
      <c r="C261"/>
      <c r="D261"/>
      <c r="E261"/>
      <c r="F261"/>
      <c r="G261"/>
      <c r="H261"/>
      <c r="I261"/>
      <c r="J261"/>
      <c r="K261" s="5"/>
      <c r="L261"/>
      <c r="M261"/>
      <c r="N261"/>
      <c r="O261"/>
      <c r="P261"/>
      <c r="Q261"/>
      <c r="R261"/>
    </row>
    <row r="262" spans="1:18" s="4" customFormat="1" x14ac:dyDescent="0.3">
      <c r="A262" s="5"/>
      <c r="B262"/>
      <c r="C262"/>
      <c r="D262"/>
      <c r="E262"/>
      <c r="F262"/>
      <c r="G262"/>
      <c r="H262"/>
      <c r="I262"/>
      <c r="J262"/>
      <c r="K262" s="5"/>
      <c r="L262"/>
      <c r="M262"/>
      <c r="N262"/>
      <c r="O262"/>
      <c r="P262"/>
      <c r="Q262"/>
      <c r="R262"/>
    </row>
    <row r="263" spans="1:18" s="4" customFormat="1" x14ac:dyDescent="0.3">
      <c r="A263" s="5"/>
      <c r="B263"/>
      <c r="C263"/>
      <c r="D263"/>
      <c r="E263"/>
      <c r="F263"/>
      <c r="G263"/>
      <c r="H263"/>
      <c r="I263"/>
      <c r="J263"/>
      <c r="K263" s="5"/>
      <c r="L263"/>
      <c r="M263"/>
      <c r="N263"/>
      <c r="O263"/>
      <c r="P263"/>
      <c r="Q263"/>
      <c r="R263"/>
    </row>
    <row r="264" spans="1:18" s="4" customFormat="1" x14ac:dyDescent="0.3">
      <c r="A264" s="5"/>
      <c r="B264"/>
      <c r="C264"/>
      <c r="D264"/>
      <c r="E264"/>
      <c r="F264"/>
      <c r="G264"/>
      <c r="H264"/>
      <c r="I264"/>
      <c r="J264"/>
      <c r="K264" s="5"/>
      <c r="L264"/>
      <c r="M264"/>
      <c r="N264"/>
      <c r="O264"/>
      <c r="P264"/>
      <c r="Q264"/>
      <c r="R264"/>
    </row>
    <row r="265" spans="1:18" s="4" customFormat="1" x14ac:dyDescent="0.3">
      <c r="A265" s="5"/>
      <c r="B265"/>
      <c r="C265"/>
      <c r="D265"/>
      <c r="E265"/>
      <c r="F265"/>
      <c r="G265"/>
      <c r="H265"/>
      <c r="I265"/>
      <c r="J265"/>
      <c r="K265" s="5"/>
      <c r="L265"/>
      <c r="M265"/>
      <c r="N265"/>
      <c r="O265"/>
      <c r="P265"/>
      <c r="Q265"/>
      <c r="R265"/>
    </row>
    <row r="266" spans="1:18" s="4" customFormat="1" x14ac:dyDescent="0.3">
      <c r="A266" s="5"/>
      <c r="B266"/>
      <c r="C266"/>
      <c r="D266"/>
      <c r="E266"/>
      <c r="F266"/>
      <c r="G266"/>
      <c r="H266"/>
      <c r="I266"/>
      <c r="J266"/>
      <c r="K266" s="5"/>
      <c r="L266"/>
      <c r="M266"/>
      <c r="N266"/>
      <c r="O266"/>
      <c r="P266"/>
      <c r="Q266"/>
      <c r="R266"/>
    </row>
    <row r="267" spans="1:18" s="4" customFormat="1" x14ac:dyDescent="0.3">
      <c r="A267" s="5"/>
      <c r="B267"/>
      <c r="C267"/>
      <c r="D267"/>
      <c r="E267"/>
      <c r="F267"/>
      <c r="G267"/>
      <c r="H267"/>
      <c r="I267"/>
      <c r="J267"/>
      <c r="K267" s="5"/>
      <c r="L267"/>
      <c r="M267"/>
      <c r="N267"/>
      <c r="O267"/>
      <c r="P267"/>
      <c r="Q267"/>
      <c r="R267"/>
    </row>
    <row r="268" spans="1:18" s="4" customFormat="1" x14ac:dyDescent="0.3">
      <c r="A268" s="5"/>
      <c r="B268"/>
      <c r="C268"/>
      <c r="D268"/>
      <c r="E268"/>
      <c r="F268"/>
      <c r="G268"/>
      <c r="H268"/>
      <c r="I268"/>
      <c r="J268"/>
      <c r="K268" s="5"/>
      <c r="L268"/>
      <c r="M268"/>
      <c r="N268"/>
      <c r="O268"/>
      <c r="P268"/>
      <c r="Q268"/>
      <c r="R268"/>
    </row>
    <row r="269" spans="1:18" s="4" customFormat="1" x14ac:dyDescent="0.3">
      <c r="A269" s="5"/>
      <c r="B269"/>
      <c r="C269"/>
      <c r="D269"/>
      <c r="E269"/>
      <c r="F269"/>
      <c r="G269"/>
      <c r="H269"/>
      <c r="I269"/>
      <c r="J269"/>
      <c r="K269" s="5"/>
      <c r="L269"/>
      <c r="M269"/>
      <c r="N269"/>
      <c r="O269"/>
      <c r="P269"/>
      <c r="Q269"/>
      <c r="R269"/>
    </row>
    <row r="270" spans="1:18" s="4" customFormat="1" x14ac:dyDescent="0.3">
      <c r="A270" s="5"/>
      <c r="B270"/>
      <c r="C270"/>
      <c r="D270"/>
      <c r="E270"/>
      <c r="F270"/>
      <c r="G270"/>
      <c r="H270"/>
      <c r="I270"/>
      <c r="J270"/>
      <c r="K270" s="5"/>
      <c r="L270"/>
      <c r="M270"/>
      <c r="N270"/>
      <c r="O270"/>
      <c r="P270"/>
      <c r="Q270"/>
      <c r="R270"/>
    </row>
    <row r="271" spans="1:18" s="4" customFormat="1" x14ac:dyDescent="0.3">
      <c r="A271" s="5"/>
      <c r="B271"/>
      <c r="C271"/>
      <c r="D271"/>
      <c r="E271"/>
      <c r="F271"/>
      <c r="G271"/>
      <c r="H271"/>
      <c r="I271"/>
      <c r="J271"/>
      <c r="K271" s="5"/>
      <c r="L271"/>
      <c r="M271"/>
      <c r="N271"/>
      <c r="O271"/>
      <c r="P271"/>
      <c r="Q271"/>
      <c r="R271"/>
    </row>
    <row r="272" spans="1:18" s="4" customFormat="1" x14ac:dyDescent="0.3">
      <c r="A272" s="5"/>
      <c r="B272"/>
      <c r="C272"/>
      <c r="D272"/>
      <c r="E272"/>
      <c r="F272"/>
      <c r="G272"/>
      <c r="H272"/>
      <c r="I272"/>
      <c r="J272"/>
      <c r="K272" s="5"/>
      <c r="L272"/>
      <c r="M272"/>
      <c r="N272"/>
      <c r="O272"/>
      <c r="P272"/>
      <c r="Q272"/>
      <c r="R272"/>
    </row>
    <row r="273" spans="1:18" s="4" customFormat="1" x14ac:dyDescent="0.3">
      <c r="A273" s="5"/>
      <c r="B273"/>
      <c r="C273"/>
      <c r="D273"/>
      <c r="E273"/>
      <c r="F273"/>
      <c r="G273"/>
      <c r="H273"/>
      <c r="I273"/>
      <c r="J273"/>
      <c r="K273" s="5"/>
      <c r="L273"/>
      <c r="M273"/>
      <c r="N273"/>
      <c r="O273"/>
      <c r="P273"/>
      <c r="Q273"/>
      <c r="R273"/>
    </row>
    <row r="274" spans="1:18" s="4" customFormat="1" x14ac:dyDescent="0.3">
      <c r="A274" s="5"/>
      <c r="B274"/>
      <c r="C274"/>
      <c r="D274"/>
      <c r="E274"/>
      <c r="F274"/>
      <c r="G274"/>
      <c r="H274"/>
      <c r="I274"/>
      <c r="J274"/>
      <c r="K274" s="5"/>
      <c r="L274"/>
      <c r="M274"/>
      <c r="N274"/>
      <c r="O274"/>
      <c r="P274"/>
      <c r="Q274"/>
      <c r="R274"/>
    </row>
    <row r="275" spans="1:18" s="4" customFormat="1" x14ac:dyDescent="0.3">
      <c r="A275" s="5"/>
      <c r="B275"/>
      <c r="C275"/>
      <c r="D275"/>
      <c r="E275"/>
      <c r="F275"/>
      <c r="G275"/>
      <c r="H275"/>
      <c r="I275"/>
      <c r="J275"/>
      <c r="K275" s="5"/>
      <c r="L275"/>
      <c r="M275"/>
      <c r="N275"/>
      <c r="O275"/>
      <c r="P275"/>
      <c r="Q275"/>
      <c r="R275"/>
    </row>
    <row r="276" spans="1:18" s="4" customFormat="1" x14ac:dyDescent="0.3">
      <c r="A276" s="5"/>
      <c r="B276"/>
      <c r="C276"/>
      <c r="D276"/>
      <c r="E276"/>
      <c r="F276"/>
      <c r="G276"/>
      <c r="H276"/>
      <c r="I276"/>
      <c r="J276"/>
      <c r="K276" s="5"/>
      <c r="L276"/>
      <c r="M276"/>
      <c r="N276"/>
      <c r="O276"/>
      <c r="P276"/>
      <c r="Q276"/>
      <c r="R276"/>
    </row>
    <row r="277" spans="1:18" s="4" customFormat="1" x14ac:dyDescent="0.3">
      <c r="A277" s="5"/>
      <c r="B277"/>
      <c r="C277"/>
      <c r="D277"/>
      <c r="E277"/>
      <c r="F277"/>
      <c r="G277"/>
      <c r="H277"/>
      <c r="I277"/>
      <c r="J277"/>
      <c r="K277" s="5"/>
      <c r="L277"/>
      <c r="M277"/>
      <c r="N277"/>
      <c r="O277"/>
      <c r="P277"/>
      <c r="Q277"/>
      <c r="R277"/>
    </row>
    <row r="278" spans="1:18" s="4" customFormat="1" x14ac:dyDescent="0.3">
      <c r="A278" s="5"/>
      <c r="B278"/>
      <c r="C278"/>
      <c r="D278"/>
      <c r="E278"/>
      <c r="F278"/>
      <c r="G278"/>
      <c r="H278"/>
      <c r="I278"/>
      <c r="J278"/>
      <c r="K278" s="5"/>
      <c r="L278"/>
      <c r="M278"/>
      <c r="N278"/>
      <c r="O278"/>
      <c r="P278"/>
      <c r="Q278"/>
      <c r="R278"/>
    </row>
    <row r="279" spans="1:18" s="4" customFormat="1" x14ac:dyDescent="0.3">
      <c r="A279" s="5"/>
      <c r="B279"/>
      <c r="C279"/>
      <c r="D279"/>
      <c r="E279"/>
      <c r="F279"/>
      <c r="G279"/>
      <c r="H279"/>
      <c r="I279"/>
      <c r="J279"/>
      <c r="K279" s="5"/>
      <c r="L279"/>
      <c r="M279"/>
      <c r="N279"/>
      <c r="O279"/>
      <c r="P279"/>
      <c r="Q279"/>
      <c r="R279"/>
    </row>
    <row r="280" spans="1:18" s="4" customFormat="1" x14ac:dyDescent="0.3">
      <c r="A280" s="5"/>
      <c r="B280"/>
      <c r="C280"/>
      <c r="D280"/>
      <c r="E280"/>
      <c r="F280"/>
      <c r="G280"/>
      <c r="H280"/>
      <c r="I280"/>
      <c r="J280"/>
      <c r="K280" s="5"/>
      <c r="L280"/>
      <c r="M280"/>
      <c r="N280"/>
      <c r="O280"/>
      <c r="P280"/>
      <c r="Q280"/>
      <c r="R280"/>
    </row>
    <row r="281" spans="1:18" s="4" customFormat="1" x14ac:dyDescent="0.3">
      <c r="A281" s="5"/>
      <c r="B281"/>
      <c r="C281"/>
      <c r="D281"/>
      <c r="E281"/>
      <c r="F281"/>
      <c r="G281"/>
      <c r="H281"/>
      <c r="I281"/>
      <c r="J281"/>
      <c r="K281" s="5"/>
      <c r="L281"/>
      <c r="M281"/>
      <c r="N281"/>
      <c r="O281"/>
      <c r="P281"/>
      <c r="Q281"/>
      <c r="R281"/>
    </row>
    <row r="282" spans="1:18" s="4" customFormat="1" x14ac:dyDescent="0.3">
      <c r="A282" s="5"/>
      <c r="B282"/>
      <c r="C282"/>
      <c r="D282"/>
      <c r="E282"/>
      <c r="F282"/>
      <c r="G282"/>
      <c r="H282"/>
      <c r="I282"/>
      <c r="J282"/>
      <c r="K282" s="5"/>
      <c r="L282"/>
      <c r="M282"/>
      <c r="N282"/>
      <c r="O282"/>
      <c r="P282"/>
      <c r="Q282"/>
      <c r="R282"/>
    </row>
    <row r="283" spans="1:18" s="4" customFormat="1" x14ac:dyDescent="0.3">
      <c r="A283" s="5"/>
      <c r="B283"/>
      <c r="C283"/>
      <c r="D283"/>
      <c r="E283"/>
      <c r="F283"/>
      <c r="G283"/>
      <c r="H283"/>
      <c r="I283"/>
      <c r="J283"/>
      <c r="K283" s="5"/>
      <c r="L283"/>
      <c r="M283"/>
      <c r="N283"/>
      <c r="O283"/>
      <c r="P283"/>
      <c r="Q283"/>
      <c r="R283"/>
    </row>
    <row r="284" spans="1:18" s="4" customFormat="1" x14ac:dyDescent="0.3">
      <c r="A284" s="5"/>
      <c r="B284"/>
      <c r="C284"/>
      <c r="D284"/>
      <c r="E284"/>
      <c r="F284"/>
      <c r="G284"/>
      <c r="H284"/>
      <c r="I284"/>
      <c r="J284"/>
      <c r="K284" s="5"/>
      <c r="L284"/>
      <c r="M284"/>
      <c r="N284"/>
      <c r="O284"/>
      <c r="P284"/>
      <c r="Q284"/>
      <c r="R284"/>
    </row>
    <row r="285" spans="1:18" s="4" customFormat="1" x14ac:dyDescent="0.3">
      <c r="A285" s="5"/>
      <c r="B285"/>
      <c r="C285"/>
      <c r="D285"/>
      <c r="E285"/>
      <c r="F285"/>
      <c r="G285"/>
      <c r="H285"/>
      <c r="I285"/>
      <c r="J285"/>
      <c r="K285" s="5"/>
      <c r="L285"/>
      <c r="M285"/>
      <c r="N285"/>
      <c r="O285"/>
      <c r="P285"/>
      <c r="Q285"/>
      <c r="R285"/>
    </row>
    <row r="286" spans="1:18" s="4" customFormat="1" x14ac:dyDescent="0.3">
      <c r="A286" s="5"/>
      <c r="B286"/>
      <c r="C286"/>
      <c r="D286"/>
      <c r="E286"/>
      <c r="F286"/>
      <c r="G286"/>
      <c r="H286"/>
      <c r="I286"/>
      <c r="J286"/>
      <c r="K286" s="5"/>
      <c r="L286"/>
      <c r="M286"/>
      <c r="N286"/>
      <c r="O286"/>
      <c r="P286"/>
      <c r="Q286"/>
      <c r="R286"/>
    </row>
    <row r="287" spans="1:18" s="4" customFormat="1" x14ac:dyDescent="0.3">
      <c r="A287" s="5"/>
      <c r="B287"/>
      <c r="C287"/>
      <c r="D287"/>
      <c r="E287"/>
      <c r="F287"/>
      <c r="G287"/>
      <c r="H287"/>
      <c r="I287"/>
      <c r="J287"/>
      <c r="K287" s="5"/>
      <c r="L287"/>
      <c r="M287"/>
      <c r="N287"/>
      <c r="O287"/>
      <c r="P287"/>
      <c r="Q287"/>
      <c r="R287"/>
    </row>
    <row r="288" spans="1:18" s="4" customFormat="1" x14ac:dyDescent="0.3">
      <c r="A288" s="5"/>
      <c r="B288"/>
      <c r="C288"/>
      <c r="D288"/>
      <c r="E288"/>
      <c r="F288"/>
      <c r="G288"/>
      <c r="H288"/>
      <c r="I288"/>
      <c r="J288"/>
      <c r="K288" s="5"/>
      <c r="L288"/>
      <c r="M288"/>
      <c r="N288"/>
      <c r="O288"/>
      <c r="P288"/>
      <c r="Q288"/>
      <c r="R288"/>
    </row>
    <row r="289" spans="1:18" s="4" customFormat="1" x14ac:dyDescent="0.3">
      <c r="A289" s="5"/>
      <c r="B289"/>
      <c r="C289"/>
      <c r="D289"/>
      <c r="E289"/>
      <c r="F289"/>
      <c r="G289"/>
      <c r="H289"/>
      <c r="I289"/>
      <c r="J289"/>
      <c r="K289" s="5"/>
      <c r="L289"/>
      <c r="M289"/>
      <c r="N289"/>
      <c r="O289"/>
      <c r="P289"/>
      <c r="Q289"/>
      <c r="R289"/>
    </row>
    <row r="290" spans="1:18" s="4" customFormat="1" x14ac:dyDescent="0.3">
      <c r="A290" s="5"/>
      <c r="B290"/>
      <c r="C290"/>
      <c r="D290"/>
      <c r="E290"/>
      <c r="F290"/>
      <c r="G290"/>
      <c r="H290"/>
      <c r="I290"/>
      <c r="J290"/>
      <c r="K290" s="5"/>
      <c r="L290"/>
      <c r="M290"/>
      <c r="N290"/>
      <c r="O290"/>
      <c r="P290"/>
      <c r="Q290"/>
      <c r="R290"/>
    </row>
    <row r="291" spans="1:18" s="4" customFormat="1" x14ac:dyDescent="0.3">
      <c r="A291" s="5"/>
      <c r="B291"/>
      <c r="C291"/>
      <c r="D291"/>
      <c r="E291"/>
      <c r="F291"/>
      <c r="G291"/>
      <c r="H291"/>
      <c r="I291"/>
      <c r="J291"/>
      <c r="K291" s="5"/>
      <c r="L291"/>
      <c r="M291"/>
      <c r="N291"/>
      <c r="O291"/>
      <c r="P291"/>
      <c r="Q291"/>
      <c r="R291"/>
    </row>
    <row r="292" spans="1:18" s="4" customFormat="1" x14ac:dyDescent="0.3">
      <c r="A292" s="5"/>
      <c r="B292"/>
      <c r="C292"/>
      <c r="D292"/>
      <c r="E292"/>
      <c r="F292"/>
      <c r="G292"/>
      <c r="H292"/>
      <c r="I292"/>
      <c r="J292"/>
      <c r="K292" s="5"/>
      <c r="L292"/>
      <c r="M292"/>
      <c r="N292"/>
      <c r="O292"/>
      <c r="P292"/>
      <c r="Q292"/>
      <c r="R292"/>
    </row>
    <row r="293" spans="1:18" s="4" customFormat="1" x14ac:dyDescent="0.3">
      <c r="A293" s="5"/>
      <c r="B293"/>
      <c r="C293"/>
      <c r="D293"/>
      <c r="E293"/>
      <c r="F293"/>
      <c r="G293"/>
      <c r="H293"/>
      <c r="I293"/>
      <c r="J293"/>
      <c r="K293" s="5"/>
      <c r="L293"/>
      <c r="M293"/>
      <c r="N293"/>
      <c r="O293"/>
      <c r="P293"/>
      <c r="Q293"/>
      <c r="R293"/>
    </row>
    <row r="294" spans="1:18" s="4" customFormat="1" x14ac:dyDescent="0.3">
      <c r="A294" s="5"/>
      <c r="B294"/>
      <c r="C294"/>
      <c r="D294"/>
      <c r="E294"/>
      <c r="F294"/>
      <c r="G294"/>
      <c r="H294"/>
      <c r="I294"/>
      <c r="J294"/>
      <c r="K294" s="5"/>
      <c r="L294"/>
      <c r="M294"/>
      <c r="N294"/>
      <c r="O294"/>
      <c r="P294"/>
      <c r="Q294"/>
      <c r="R294"/>
    </row>
    <row r="295" spans="1:18" s="4" customFormat="1" x14ac:dyDescent="0.3">
      <c r="A295" s="5"/>
      <c r="B295"/>
      <c r="C295"/>
      <c r="D295"/>
      <c r="E295"/>
      <c r="F295"/>
      <c r="G295"/>
      <c r="H295"/>
      <c r="I295"/>
      <c r="J295"/>
      <c r="K295" s="5"/>
      <c r="L295"/>
      <c r="M295"/>
      <c r="N295"/>
      <c r="O295"/>
      <c r="P295"/>
      <c r="Q295"/>
      <c r="R295"/>
    </row>
    <row r="296" spans="1:18" s="4" customFormat="1" x14ac:dyDescent="0.3">
      <c r="A296" s="5"/>
      <c r="B296"/>
      <c r="C296"/>
      <c r="D296"/>
      <c r="E296"/>
      <c r="F296"/>
      <c r="G296"/>
      <c r="H296"/>
      <c r="I296"/>
      <c r="J296"/>
      <c r="K296" s="5"/>
      <c r="L296"/>
      <c r="M296"/>
      <c r="N296"/>
      <c r="O296"/>
      <c r="P296"/>
      <c r="Q296"/>
      <c r="R296"/>
    </row>
    <row r="297" spans="1:18" s="4" customFormat="1" x14ac:dyDescent="0.3">
      <c r="A297" s="5"/>
      <c r="B297"/>
      <c r="C297"/>
      <c r="D297"/>
      <c r="E297"/>
      <c r="F297"/>
      <c r="G297"/>
      <c r="H297"/>
      <c r="I297"/>
      <c r="J297"/>
      <c r="K297" s="5"/>
      <c r="L297"/>
      <c r="M297"/>
      <c r="N297"/>
      <c r="O297"/>
      <c r="P297"/>
      <c r="Q297"/>
      <c r="R297"/>
    </row>
    <row r="298" spans="1:18" s="4" customFormat="1" x14ac:dyDescent="0.3">
      <c r="A298" s="5"/>
      <c r="B298"/>
      <c r="C298"/>
      <c r="D298"/>
      <c r="E298"/>
      <c r="F298"/>
      <c r="G298"/>
      <c r="H298"/>
      <c r="I298"/>
      <c r="J298"/>
      <c r="K298" s="5"/>
      <c r="L298"/>
      <c r="M298"/>
      <c r="N298"/>
      <c r="O298"/>
      <c r="P298"/>
      <c r="Q298"/>
      <c r="R298"/>
    </row>
    <row r="299" spans="1:18" s="4" customFormat="1" x14ac:dyDescent="0.3">
      <c r="A299" s="5"/>
      <c r="B299"/>
      <c r="C299"/>
      <c r="D299"/>
      <c r="E299"/>
      <c r="F299"/>
      <c r="G299"/>
      <c r="H299"/>
      <c r="I299"/>
      <c r="J299"/>
      <c r="K299" s="5"/>
      <c r="L299"/>
      <c r="M299"/>
      <c r="N299"/>
      <c r="O299"/>
      <c r="P299"/>
      <c r="Q299"/>
      <c r="R299"/>
    </row>
    <row r="300" spans="1:18" s="4" customFormat="1" x14ac:dyDescent="0.3">
      <c r="A300" s="5"/>
      <c r="B300"/>
      <c r="C300"/>
      <c r="D300"/>
      <c r="E300"/>
      <c r="F300"/>
      <c r="G300"/>
      <c r="H300"/>
      <c r="I300"/>
      <c r="J300"/>
      <c r="K300" s="5"/>
      <c r="L300"/>
      <c r="M300"/>
      <c r="N300"/>
      <c r="O300"/>
      <c r="P300"/>
      <c r="Q300"/>
      <c r="R300"/>
    </row>
    <row r="301" spans="1:18" s="4" customFormat="1" x14ac:dyDescent="0.3">
      <c r="A301" s="5"/>
      <c r="B301"/>
      <c r="C301"/>
      <c r="D301"/>
      <c r="E301"/>
      <c r="F301"/>
      <c r="G301"/>
      <c r="H301"/>
      <c r="I301"/>
      <c r="J301"/>
      <c r="K301" s="5"/>
      <c r="L301"/>
      <c r="M301"/>
      <c r="N301"/>
      <c r="O301"/>
      <c r="P301"/>
      <c r="Q301"/>
      <c r="R301"/>
    </row>
    <row r="302" spans="1:18" s="4" customFormat="1" x14ac:dyDescent="0.3">
      <c r="A302" s="5"/>
      <c r="B302"/>
      <c r="C302"/>
      <c r="D302"/>
      <c r="E302"/>
      <c r="F302"/>
      <c r="G302"/>
      <c r="H302"/>
      <c r="I302"/>
      <c r="J302"/>
      <c r="K302" s="5"/>
      <c r="L302"/>
      <c r="M302"/>
      <c r="N302"/>
      <c r="O302"/>
      <c r="P302"/>
      <c r="Q302"/>
      <c r="R302"/>
    </row>
    <row r="303" spans="1:18" s="4" customFormat="1" x14ac:dyDescent="0.3">
      <c r="A303" s="5"/>
      <c r="B303"/>
      <c r="C303"/>
      <c r="D303"/>
      <c r="E303"/>
      <c r="F303"/>
      <c r="G303"/>
      <c r="H303"/>
      <c r="I303"/>
      <c r="J303"/>
      <c r="K303" s="5"/>
      <c r="L303"/>
      <c r="M303"/>
      <c r="N303"/>
      <c r="O303"/>
      <c r="P303"/>
      <c r="Q303"/>
      <c r="R303"/>
    </row>
    <row r="304" spans="1:18" s="4" customFormat="1" x14ac:dyDescent="0.3">
      <c r="A304" s="5"/>
      <c r="B304"/>
      <c r="C304"/>
      <c r="D304"/>
      <c r="E304"/>
      <c r="F304"/>
      <c r="G304"/>
      <c r="H304"/>
      <c r="I304"/>
      <c r="J304"/>
      <c r="K304" s="5"/>
      <c r="L304"/>
      <c r="M304"/>
      <c r="N304"/>
      <c r="O304"/>
      <c r="P304"/>
      <c r="Q304"/>
      <c r="R304"/>
    </row>
    <row r="305" spans="1:18" s="4" customFormat="1" x14ac:dyDescent="0.3">
      <c r="A305" s="5"/>
      <c r="B305"/>
      <c r="C305"/>
      <c r="D305"/>
      <c r="E305"/>
      <c r="F305"/>
      <c r="G305"/>
      <c r="H305"/>
      <c r="I305"/>
      <c r="J305"/>
      <c r="K305" s="5"/>
      <c r="L305"/>
      <c r="M305"/>
      <c r="N305"/>
      <c r="O305"/>
      <c r="P305"/>
      <c r="Q305"/>
      <c r="R305"/>
    </row>
    <row r="306" spans="1:18" s="4" customFormat="1" x14ac:dyDescent="0.3">
      <c r="A306" s="5"/>
      <c r="B306"/>
      <c r="C306"/>
      <c r="D306"/>
      <c r="E306"/>
      <c r="F306"/>
      <c r="G306"/>
      <c r="H306"/>
      <c r="I306"/>
      <c r="J306"/>
      <c r="K306" s="5"/>
      <c r="L306"/>
      <c r="M306"/>
      <c r="N306"/>
      <c r="O306"/>
      <c r="P306"/>
      <c r="Q306"/>
      <c r="R306"/>
    </row>
    <row r="307" spans="1:18" s="4" customFormat="1" x14ac:dyDescent="0.3">
      <c r="A307" s="5"/>
      <c r="B307"/>
      <c r="C307"/>
      <c r="D307"/>
      <c r="E307"/>
      <c r="F307"/>
      <c r="G307"/>
      <c r="H307"/>
      <c r="I307"/>
      <c r="J307"/>
      <c r="K307" s="5"/>
      <c r="L307"/>
      <c r="M307"/>
      <c r="N307"/>
      <c r="O307"/>
      <c r="P307"/>
      <c r="Q307"/>
      <c r="R307"/>
    </row>
    <row r="308" spans="1:18" s="4" customFormat="1" x14ac:dyDescent="0.3">
      <c r="A308" s="5"/>
      <c r="B308"/>
      <c r="C308"/>
      <c r="D308"/>
      <c r="E308"/>
      <c r="F308"/>
      <c r="G308"/>
      <c r="H308"/>
      <c r="I308"/>
      <c r="J308"/>
      <c r="K308" s="5"/>
      <c r="L308"/>
      <c r="M308"/>
      <c r="N308"/>
      <c r="O308"/>
      <c r="P308"/>
      <c r="Q308"/>
      <c r="R308"/>
    </row>
    <row r="309" spans="1:18" s="4" customFormat="1" x14ac:dyDescent="0.3">
      <c r="A309" s="5"/>
      <c r="B309"/>
      <c r="C309"/>
      <c r="D309"/>
      <c r="E309"/>
      <c r="F309"/>
      <c r="G309"/>
      <c r="H309"/>
      <c r="I309"/>
      <c r="J309"/>
      <c r="K309" s="5"/>
      <c r="L309"/>
      <c r="M309"/>
      <c r="N309"/>
      <c r="O309"/>
      <c r="P309"/>
      <c r="Q309"/>
      <c r="R309"/>
    </row>
    <row r="310" spans="1:18" s="4" customFormat="1" x14ac:dyDescent="0.3">
      <c r="A310" s="5"/>
      <c r="B310"/>
      <c r="C310"/>
      <c r="D310"/>
      <c r="E310"/>
      <c r="F310"/>
      <c r="G310"/>
      <c r="H310"/>
      <c r="I310"/>
      <c r="J310"/>
      <c r="K310" s="5"/>
      <c r="L310"/>
      <c r="M310"/>
      <c r="N310"/>
      <c r="O310"/>
      <c r="P310"/>
      <c r="Q310"/>
      <c r="R310"/>
    </row>
    <row r="311" spans="1:18" s="4" customFormat="1" x14ac:dyDescent="0.3">
      <c r="A311" s="5"/>
      <c r="B311"/>
      <c r="C311"/>
      <c r="D311"/>
      <c r="E311"/>
      <c r="F311"/>
      <c r="G311"/>
      <c r="H311"/>
      <c r="I311"/>
      <c r="J311"/>
      <c r="K311" s="5"/>
      <c r="L311"/>
      <c r="M311"/>
      <c r="N311"/>
      <c r="O311"/>
      <c r="P311"/>
      <c r="Q311"/>
      <c r="R311"/>
    </row>
    <row r="312" spans="1:18" s="4" customFormat="1" x14ac:dyDescent="0.3">
      <c r="A312" s="5"/>
      <c r="B312"/>
      <c r="C312"/>
      <c r="D312"/>
      <c r="E312"/>
      <c r="F312"/>
      <c r="G312"/>
      <c r="H312"/>
      <c r="I312"/>
      <c r="J312"/>
      <c r="K312" s="5"/>
      <c r="L312"/>
      <c r="M312"/>
      <c r="N312"/>
      <c r="O312"/>
      <c r="P312"/>
      <c r="Q312"/>
      <c r="R312"/>
    </row>
    <row r="313" spans="1:18" s="4" customFormat="1" x14ac:dyDescent="0.3">
      <c r="A313" s="5"/>
      <c r="B313"/>
      <c r="C313"/>
      <c r="D313"/>
      <c r="E313"/>
      <c r="F313"/>
      <c r="G313"/>
      <c r="H313"/>
      <c r="I313"/>
      <c r="J313"/>
      <c r="K313" s="5"/>
      <c r="L313"/>
      <c r="M313"/>
      <c r="N313"/>
      <c r="O313"/>
      <c r="P313"/>
      <c r="Q313"/>
      <c r="R313"/>
    </row>
    <row r="314" spans="1:18" s="4" customFormat="1" x14ac:dyDescent="0.3">
      <c r="A314" s="5"/>
      <c r="B314"/>
      <c r="C314"/>
      <c r="D314"/>
      <c r="E314"/>
      <c r="F314"/>
      <c r="G314"/>
      <c r="H314"/>
      <c r="I314"/>
      <c r="J314"/>
      <c r="K314" s="5"/>
      <c r="L314"/>
      <c r="M314"/>
      <c r="N314"/>
      <c r="O314"/>
      <c r="P314"/>
      <c r="Q314"/>
      <c r="R314"/>
    </row>
    <row r="315" spans="1:18" s="4" customFormat="1" x14ac:dyDescent="0.3">
      <c r="A315" s="5"/>
      <c r="B315"/>
      <c r="C315"/>
      <c r="D315"/>
      <c r="E315"/>
      <c r="F315"/>
      <c r="G315"/>
      <c r="H315"/>
      <c r="I315"/>
      <c r="J315"/>
      <c r="K315" s="5"/>
      <c r="L315"/>
      <c r="M315"/>
      <c r="N315"/>
      <c r="O315"/>
      <c r="P315"/>
      <c r="Q315"/>
      <c r="R315"/>
    </row>
    <row r="316" spans="1:18" s="4" customFormat="1" x14ac:dyDescent="0.3">
      <c r="A316" s="5"/>
      <c r="B316"/>
      <c r="C316"/>
      <c r="D316"/>
      <c r="E316"/>
      <c r="F316"/>
      <c r="G316"/>
      <c r="H316"/>
      <c r="I316"/>
      <c r="J316"/>
      <c r="K316" s="5"/>
      <c r="L316"/>
      <c r="M316"/>
      <c r="N316"/>
      <c r="O316"/>
      <c r="P316"/>
      <c r="Q316"/>
      <c r="R316"/>
    </row>
    <row r="317" spans="1:18" s="4" customFormat="1" x14ac:dyDescent="0.3">
      <c r="A317" s="5"/>
      <c r="B317"/>
      <c r="C317"/>
      <c r="D317"/>
      <c r="E317"/>
      <c r="F317"/>
      <c r="G317"/>
      <c r="H317"/>
      <c r="I317"/>
      <c r="J317"/>
      <c r="K317" s="5"/>
      <c r="L317"/>
      <c r="M317"/>
      <c r="N317"/>
      <c r="O317"/>
      <c r="P317"/>
      <c r="Q317"/>
      <c r="R317"/>
    </row>
    <row r="318" spans="1:18" s="4" customFormat="1" x14ac:dyDescent="0.3">
      <c r="A318" s="5"/>
      <c r="B318"/>
      <c r="C318"/>
      <c r="D318"/>
      <c r="E318"/>
      <c r="F318"/>
      <c r="G318"/>
      <c r="H318"/>
      <c r="I318"/>
      <c r="J318"/>
      <c r="K318" s="5"/>
      <c r="L318"/>
      <c r="M318"/>
      <c r="N318"/>
      <c r="O318"/>
      <c r="P318"/>
      <c r="Q318"/>
      <c r="R318"/>
    </row>
    <row r="319" spans="1:18" s="4" customFormat="1" x14ac:dyDescent="0.3">
      <c r="A319" s="5"/>
      <c r="B319"/>
      <c r="C319"/>
      <c r="D319"/>
      <c r="E319"/>
      <c r="F319"/>
      <c r="G319"/>
      <c r="H319"/>
      <c r="I319"/>
      <c r="J319"/>
      <c r="K319" s="5"/>
      <c r="L319"/>
      <c r="M319"/>
      <c r="N319"/>
      <c r="O319"/>
      <c r="P319"/>
      <c r="Q319"/>
      <c r="R319"/>
    </row>
    <row r="320" spans="1:18" s="4" customFormat="1" x14ac:dyDescent="0.3">
      <c r="A320" s="5"/>
      <c r="B320"/>
      <c r="C320"/>
      <c r="D320"/>
      <c r="E320"/>
      <c r="F320"/>
      <c r="G320"/>
      <c r="H320"/>
      <c r="I320"/>
      <c r="J320"/>
      <c r="K320" s="5"/>
      <c r="L320"/>
      <c r="M320"/>
      <c r="N320"/>
      <c r="O320"/>
      <c r="P320"/>
      <c r="Q320"/>
      <c r="R320"/>
    </row>
    <row r="321" spans="1:18" s="4" customFormat="1" x14ac:dyDescent="0.3">
      <c r="A321" s="5"/>
      <c r="B321"/>
      <c r="C321"/>
      <c r="D321"/>
      <c r="E321"/>
      <c r="F321"/>
      <c r="G321"/>
      <c r="H321"/>
      <c r="I321"/>
      <c r="J321"/>
      <c r="K321" s="5"/>
      <c r="L321"/>
      <c r="M321"/>
      <c r="N321"/>
      <c r="O321"/>
      <c r="P321"/>
      <c r="Q321"/>
      <c r="R321"/>
    </row>
    <row r="322" spans="1:18" s="4" customFormat="1" x14ac:dyDescent="0.3">
      <c r="A322" s="5"/>
      <c r="B322"/>
      <c r="C322"/>
      <c r="D322"/>
      <c r="E322"/>
      <c r="F322"/>
      <c r="G322"/>
      <c r="H322"/>
      <c r="I322"/>
      <c r="J322"/>
      <c r="K322" s="5"/>
      <c r="L322"/>
      <c r="M322"/>
      <c r="N322"/>
      <c r="O322"/>
      <c r="P322"/>
      <c r="Q322"/>
      <c r="R322"/>
    </row>
    <row r="323" spans="1:18" s="4" customFormat="1" x14ac:dyDescent="0.3">
      <c r="A323" s="5"/>
      <c r="B323"/>
      <c r="C323"/>
      <c r="D323"/>
      <c r="E323"/>
      <c r="F323"/>
      <c r="G323"/>
      <c r="H323"/>
      <c r="I323"/>
      <c r="J323"/>
      <c r="K323" s="5"/>
      <c r="L323"/>
      <c r="M323"/>
      <c r="N323"/>
      <c r="O323"/>
      <c r="P323"/>
      <c r="Q323"/>
      <c r="R323"/>
    </row>
    <row r="324" spans="1:18" s="4" customFormat="1" x14ac:dyDescent="0.3">
      <c r="A324" s="5"/>
      <c r="B324"/>
      <c r="C324"/>
      <c r="D324"/>
      <c r="E324"/>
      <c r="F324"/>
      <c r="G324"/>
      <c r="H324"/>
      <c r="I324"/>
      <c r="J324"/>
      <c r="K324" s="5"/>
      <c r="L324"/>
      <c r="M324"/>
      <c r="N324"/>
      <c r="O324"/>
      <c r="P324"/>
      <c r="Q324"/>
      <c r="R324"/>
    </row>
    <row r="325" spans="1:18" s="4" customFormat="1" x14ac:dyDescent="0.3">
      <c r="A325" s="5"/>
      <c r="B325"/>
      <c r="C325"/>
      <c r="D325"/>
      <c r="E325"/>
      <c r="F325"/>
      <c r="G325"/>
      <c r="H325"/>
      <c r="I325"/>
      <c r="J325"/>
      <c r="K325" s="5"/>
      <c r="L325"/>
      <c r="M325"/>
      <c r="N325"/>
      <c r="O325"/>
      <c r="P325"/>
      <c r="Q325"/>
      <c r="R325"/>
    </row>
    <row r="326" spans="1:18" s="4" customFormat="1" x14ac:dyDescent="0.3">
      <c r="A326" s="5"/>
      <c r="B326"/>
      <c r="C326"/>
      <c r="D326"/>
      <c r="E326"/>
      <c r="F326"/>
      <c r="G326"/>
      <c r="H326"/>
      <c r="I326"/>
      <c r="J326"/>
      <c r="K326" s="5"/>
      <c r="L326"/>
      <c r="M326"/>
      <c r="N326"/>
      <c r="O326"/>
      <c r="P326"/>
      <c r="Q326"/>
      <c r="R326"/>
    </row>
    <row r="327" spans="1:18" s="4" customFormat="1" x14ac:dyDescent="0.3">
      <c r="A327" s="5"/>
      <c r="B327"/>
      <c r="C327"/>
      <c r="D327"/>
      <c r="E327"/>
      <c r="F327"/>
      <c r="G327"/>
      <c r="H327"/>
      <c r="I327"/>
      <c r="J327"/>
      <c r="K327" s="5"/>
      <c r="L327"/>
      <c r="M327"/>
      <c r="N327"/>
      <c r="O327"/>
      <c r="P327"/>
      <c r="Q327"/>
      <c r="R327"/>
    </row>
    <row r="328" spans="1:18" s="4" customFormat="1" x14ac:dyDescent="0.3">
      <c r="A328" s="5"/>
      <c r="B328"/>
      <c r="C328"/>
      <c r="D328"/>
      <c r="E328"/>
      <c r="F328"/>
      <c r="G328"/>
      <c r="H328"/>
      <c r="I328"/>
      <c r="J328"/>
      <c r="K328" s="5"/>
      <c r="L328"/>
      <c r="M328"/>
      <c r="N328"/>
      <c r="O328"/>
      <c r="P328"/>
      <c r="Q328"/>
      <c r="R328"/>
    </row>
    <row r="329" spans="1:18" s="4" customFormat="1" x14ac:dyDescent="0.3">
      <c r="A329" s="5"/>
      <c r="B329"/>
      <c r="C329"/>
      <c r="D329"/>
      <c r="E329"/>
      <c r="F329"/>
      <c r="G329"/>
      <c r="H329"/>
      <c r="I329"/>
      <c r="J329"/>
      <c r="K329" s="5"/>
      <c r="L329"/>
      <c r="M329"/>
      <c r="N329"/>
      <c r="O329"/>
      <c r="P329"/>
      <c r="Q329"/>
      <c r="R329"/>
    </row>
    <row r="330" spans="1:18" s="4" customFormat="1" x14ac:dyDescent="0.3">
      <c r="A330" s="5"/>
      <c r="B330"/>
      <c r="C330"/>
      <c r="D330"/>
      <c r="E330"/>
      <c r="F330"/>
      <c r="G330"/>
      <c r="H330"/>
      <c r="I330"/>
      <c r="J330"/>
      <c r="K330" s="5"/>
      <c r="L330"/>
      <c r="M330"/>
      <c r="N330"/>
      <c r="O330"/>
      <c r="P330"/>
      <c r="Q330"/>
      <c r="R330"/>
    </row>
    <row r="331" spans="1:18" s="4" customFormat="1" x14ac:dyDescent="0.3">
      <c r="A331" s="5"/>
      <c r="B331"/>
      <c r="C331"/>
      <c r="D331"/>
      <c r="E331"/>
      <c r="F331"/>
      <c r="G331"/>
      <c r="H331"/>
      <c r="I331"/>
      <c r="J331"/>
      <c r="K331" s="5"/>
      <c r="L331"/>
      <c r="M331"/>
      <c r="N331"/>
      <c r="O331"/>
      <c r="P331"/>
      <c r="Q331"/>
      <c r="R331"/>
    </row>
    <row r="332" spans="1:18" s="4" customFormat="1" x14ac:dyDescent="0.3">
      <c r="A332" s="5"/>
      <c r="B332"/>
      <c r="C332"/>
      <c r="D332"/>
      <c r="E332"/>
      <c r="F332"/>
      <c r="G332"/>
      <c r="H332"/>
      <c r="I332"/>
      <c r="J332"/>
      <c r="K332" s="5"/>
      <c r="L332"/>
      <c r="M332"/>
      <c r="N332"/>
      <c r="O332"/>
      <c r="P332"/>
      <c r="Q332"/>
      <c r="R332"/>
    </row>
    <row r="333" spans="1:18" s="4" customFormat="1" x14ac:dyDescent="0.3">
      <c r="A333" s="5"/>
      <c r="B333"/>
      <c r="C333"/>
      <c r="D333"/>
      <c r="E333"/>
      <c r="F333"/>
      <c r="G333"/>
      <c r="H333"/>
      <c r="I333"/>
      <c r="J333"/>
      <c r="K333" s="5"/>
      <c r="L333"/>
      <c r="M333"/>
      <c r="N333"/>
      <c r="O333"/>
      <c r="P333"/>
      <c r="Q333"/>
      <c r="R333"/>
    </row>
    <row r="334" spans="1:18" s="4" customFormat="1" x14ac:dyDescent="0.3">
      <c r="A334" s="5"/>
      <c r="B334"/>
      <c r="C334"/>
      <c r="D334"/>
      <c r="E334"/>
      <c r="F334"/>
      <c r="G334"/>
      <c r="H334"/>
      <c r="I334"/>
      <c r="J334"/>
      <c r="K334" s="5"/>
      <c r="L334"/>
      <c r="M334"/>
      <c r="N334"/>
      <c r="O334"/>
      <c r="P334"/>
      <c r="Q334"/>
      <c r="R334"/>
    </row>
    <row r="335" spans="1:18" s="4" customFormat="1" x14ac:dyDescent="0.3">
      <c r="A335" s="5"/>
      <c r="B335"/>
      <c r="C335"/>
      <c r="D335"/>
      <c r="E335"/>
      <c r="F335"/>
      <c r="G335"/>
      <c r="H335"/>
      <c r="I335"/>
      <c r="J335"/>
      <c r="K335" s="5"/>
      <c r="L335"/>
      <c r="M335"/>
      <c r="N335"/>
      <c r="O335"/>
      <c r="P335"/>
      <c r="Q335"/>
      <c r="R335"/>
    </row>
    <row r="336" spans="1:18" s="4" customFormat="1" x14ac:dyDescent="0.3">
      <c r="A336" s="5"/>
      <c r="B336"/>
      <c r="C336"/>
      <c r="D336"/>
      <c r="E336"/>
      <c r="F336"/>
      <c r="G336"/>
      <c r="H336"/>
      <c r="I336"/>
      <c r="J336"/>
      <c r="K336" s="5"/>
      <c r="L336"/>
      <c r="M336"/>
      <c r="N336"/>
      <c r="O336"/>
      <c r="P336"/>
      <c r="Q336"/>
      <c r="R336"/>
    </row>
    <row r="337" spans="1:18" s="4" customFormat="1" x14ac:dyDescent="0.3">
      <c r="A337" s="5"/>
      <c r="B337"/>
      <c r="C337"/>
      <c r="D337"/>
      <c r="E337"/>
      <c r="F337"/>
      <c r="G337"/>
      <c r="H337"/>
      <c r="I337"/>
      <c r="J337"/>
      <c r="K337" s="5"/>
      <c r="L337"/>
      <c r="M337"/>
      <c r="N337"/>
      <c r="O337"/>
      <c r="P337"/>
      <c r="Q337"/>
      <c r="R337"/>
    </row>
    <row r="338" spans="1:18" s="4" customFormat="1" x14ac:dyDescent="0.3">
      <c r="A338" s="5"/>
      <c r="B338"/>
      <c r="C338"/>
      <c r="D338"/>
      <c r="E338"/>
      <c r="F338"/>
      <c r="G338"/>
      <c r="H338"/>
      <c r="I338"/>
      <c r="J338"/>
      <c r="K338" s="5"/>
      <c r="L338"/>
      <c r="M338"/>
      <c r="N338"/>
      <c r="O338"/>
      <c r="P338"/>
      <c r="Q338"/>
      <c r="R338"/>
    </row>
    <row r="339" spans="1:18" s="4" customFormat="1" x14ac:dyDescent="0.3">
      <c r="A339" s="5"/>
      <c r="B339"/>
      <c r="C339"/>
      <c r="D339"/>
      <c r="E339"/>
      <c r="F339"/>
      <c r="G339"/>
      <c r="H339"/>
      <c r="I339"/>
      <c r="J339"/>
      <c r="K339" s="5"/>
      <c r="L339"/>
      <c r="M339"/>
      <c r="N339"/>
      <c r="O339"/>
      <c r="P339"/>
      <c r="Q339"/>
      <c r="R339"/>
    </row>
    <row r="340" spans="1:18" s="4" customFormat="1" x14ac:dyDescent="0.3">
      <c r="A340" s="5"/>
      <c r="B340"/>
      <c r="C340"/>
      <c r="D340"/>
      <c r="E340"/>
      <c r="F340"/>
      <c r="G340"/>
      <c r="H340"/>
      <c r="I340"/>
      <c r="J340"/>
      <c r="K340" s="5"/>
      <c r="L340"/>
      <c r="M340"/>
      <c r="N340"/>
      <c r="O340"/>
      <c r="P340"/>
      <c r="Q340"/>
      <c r="R340"/>
    </row>
    <row r="341" spans="1:18" s="4" customFormat="1" x14ac:dyDescent="0.3">
      <c r="A341" s="5"/>
      <c r="B341"/>
      <c r="C341"/>
      <c r="D341"/>
      <c r="E341"/>
      <c r="F341"/>
      <c r="G341"/>
      <c r="H341"/>
      <c r="I341"/>
      <c r="J341"/>
      <c r="K341" s="5"/>
      <c r="L341"/>
      <c r="M341"/>
      <c r="N341"/>
      <c r="O341"/>
      <c r="P341"/>
      <c r="Q341"/>
      <c r="R341"/>
    </row>
    <row r="342" spans="1:18" s="4" customFormat="1" x14ac:dyDescent="0.3">
      <c r="A342" s="5"/>
      <c r="B342"/>
      <c r="C342"/>
      <c r="D342"/>
      <c r="E342"/>
      <c r="F342"/>
      <c r="G342"/>
      <c r="H342"/>
      <c r="I342"/>
      <c r="J342"/>
      <c r="K342" s="5"/>
      <c r="L342"/>
      <c r="M342"/>
      <c r="N342"/>
      <c r="O342"/>
      <c r="P342"/>
      <c r="Q342"/>
      <c r="R342"/>
    </row>
    <row r="343" spans="1:18" s="4" customFormat="1" x14ac:dyDescent="0.3">
      <c r="A343" s="5"/>
      <c r="B343"/>
      <c r="C343"/>
      <c r="D343"/>
      <c r="E343"/>
      <c r="F343"/>
      <c r="G343"/>
      <c r="H343"/>
      <c r="I343"/>
      <c r="J343"/>
      <c r="K343" s="5"/>
      <c r="L343"/>
      <c r="M343"/>
      <c r="N343"/>
      <c r="O343"/>
      <c r="P343"/>
      <c r="Q343"/>
      <c r="R343"/>
    </row>
    <row r="344" spans="1:18" s="4" customFormat="1" x14ac:dyDescent="0.3">
      <c r="A344" s="5"/>
      <c r="B344"/>
      <c r="C344"/>
      <c r="D344"/>
      <c r="E344"/>
      <c r="F344"/>
      <c r="G344"/>
      <c r="H344"/>
      <c r="I344"/>
      <c r="J344"/>
      <c r="K344" s="5"/>
      <c r="L344"/>
      <c r="M344"/>
      <c r="N344"/>
      <c r="O344"/>
      <c r="P344"/>
      <c r="Q344"/>
      <c r="R344"/>
    </row>
    <row r="345" spans="1:18" s="4" customFormat="1" x14ac:dyDescent="0.3">
      <c r="A345" s="5"/>
      <c r="B345"/>
      <c r="C345"/>
      <c r="D345"/>
      <c r="E345"/>
      <c r="F345"/>
      <c r="G345"/>
      <c r="H345"/>
      <c r="I345"/>
      <c r="J345"/>
      <c r="K345" s="5"/>
      <c r="L345"/>
      <c r="M345"/>
      <c r="N345"/>
      <c r="O345"/>
      <c r="P345"/>
      <c r="Q345"/>
      <c r="R345"/>
    </row>
    <row r="346" spans="1:18" s="4" customFormat="1" x14ac:dyDescent="0.3">
      <c r="A346" s="5"/>
      <c r="B346"/>
      <c r="C346"/>
      <c r="D346"/>
      <c r="E346"/>
      <c r="F346"/>
      <c r="G346"/>
      <c r="H346"/>
      <c r="I346"/>
      <c r="J346"/>
      <c r="K346" s="5"/>
      <c r="L346"/>
      <c r="M346"/>
      <c r="N346"/>
      <c r="O346"/>
      <c r="P346"/>
      <c r="Q346"/>
      <c r="R346"/>
    </row>
    <row r="347" spans="1:18" s="4" customFormat="1" x14ac:dyDescent="0.3">
      <c r="A347" s="5"/>
      <c r="B347"/>
      <c r="C347"/>
      <c r="D347"/>
      <c r="E347"/>
      <c r="F347"/>
      <c r="G347"/>
      <c r="H347"/>
      <c r="I347"/>
      <c r="J347"/>
      <c r="K347" s="5"/>
      <c r="L347"/>
      <c r="M347"/>
      <c r="N347"/>
      <c r="O347"/>
      <c r="P347"/>
      <c r="Q347"/>
      <c r="R347"/>
    </row>
    <row r="348" spans="1:18" s="4" customFormat="1" x14ac:dyDescent="0.3">
      <c r="A348" s="5"/>
      <c r="B348"/>
      <c r="C348"/>
      <c r="D348"/>
      <c r="E348"/>
      <c r="F348"/>
      <c r="G348"/>
      <c r="H348"/>
      <c r="I348"/>
      <c r="J348"/>
      <c r="K348" s="5"/>
      <c r="L348"/>
      <c r="M348"/>
      <c r="N348"/>
      <c r="O348"/>
      <c r="P348"/>
      <c r="Q348"/>
      <c r="R348"/>
    </row>
    <row r="349" spans="1:18" s="4" customFormat="1" x14ac:dyDescent="0.3">
      <c r="A349" s="5"/>
      <c r="B349"/>
      <c r="C349"/>
      <c r="D349"/>
      <c r="E349"/>
      <c r="F349"/>
      <c r="G349"/>
      <c r="H349"/>
      <c r="I349"/>
      <c r="J349"/>
      <c r="K349" s="5"/>
      <c r="L349"/>
      <c r="M349"/>
      <c r="N349"/>
      <c r="O349"/>
      <c r="P349"/>
      <c r="Q349"/>
      <c r="R349"/>
    </row>
    <row r="350" spans="1:18" s="4" customFormat="1" x14ac:dyDescent="0.3">
      <c r="A350" s="5"/>
      <c r="B350"/>
      <c r="C350"/>
      <c r="D350"/>
      <c r="E350"/>
      <c r="F350"/>
      <c r="G350"/>
      <c r="H350"/>
      <c r="I350"/>
      <c r="J350"/>
      <c r="K350" s="5"/>
      <c r="L350"/>
      <c r="M350"/>
      <c r="N350"/>
      <c r="O350"/>
      <c r="P350"/>
      <c r="Q350"/>
      <c r="R350"/>
    </row>
    <row r="351" spans="1:18" s="4" customFormat="1" x14ac:dyDescent="0.3">
      <c r="A351" s="5"/>
      <c r="B351"/>
      <c r="C351"/>
      <c r="D351"/>
      <c r="E351"/>
      <c r="F351"/>
      <c r="G351"/>
      <c r="H351"/>
      <c r="I351"/>
      <c r="J351"/>
      <c r="K351" s="5"/>
      <c r="L351"/>
      <c r="M351"/>
      <c r="N351"/>
      <c r="O351"/>
      <c r="P351"/>
      <c r="Q351"/>
      <c r="R351"/>
    </row>
    <row r="352" spans="1:18" s="4" customFormat="1" x14ac:dyDescent="0.3">
      <c r="A352" s="5"/>
      <c r="B352"/>
      <c r="C352"/>
      <c r="D352"/>
      <c r="E352"/>
      <c r="F352"/>
      <c r="G352"/>
      <c r="H352"/>
      <c r="I352"/>
      <c r="J352"/>
      <c r="K352" s="5"/>
      <c r="L352"/>
      <c r="M352"/>
      <c r="N352"/>
      <c r="O352"/>
      <c r="P352"/>
      <c r="Q352"/>
      <c r="R352"/>
    </row>
    <row r="353" spans="1:18" s="4" customFormat="1" x14ac:dyDescent="0.3">
      <c r="A353" s="5"/>
      <c r="B353"/>
      <c r="C353"/>
      <c r="D353"/>
      <c r="E353"/>
      <c r="F353"/>
      <c r="G353"/>
      <c r="H353"/>
      <c r="I353"/>
      <c r="J353"/>
      <c r="K353" s="5"/>
      <c r="L353"/>
      <c r="M353"/>
      <c r="N353"/>
      <c r="O353"/>
      <c r="P353"/>
      <c r="Q353"/>
      <c r="R353"/>
    </row>
    <row r="354" spans="1:18" s="4" customFormat="1" x14ac:dyDescent="0.3">
      <c r="A354" s="5"/>
      <c r="B354"/>
      <c r="C354"/>
      <c r="D354"/>
      <c r="E354"/>
      <c r="F354"/>
      <c r="G354"/>
      <c r="H354"/>
      <c r="I354"/>
      <c r="J354"/>
      <c r="K354" s="5"/>
      <c r="L354"/>
      <c r="M354"/>
      <c r="N354"/>
      <c r="O354"/>
      <c r="P354"/>
      <c r="Q354"/>
      <c r="R354"/>
    </row>
    <row r="355" spans="1:18" s="4" customFormat="1" x14ac:dyDescent="0.3">
      <c r="A355" s="5"/>
      <c r="B355"/>
      <c r="C355"/>
      <c r="D355"/>
      <c r="E355"/>
      <c r="F355"/>
      <c r="G355"/>
      <c r="H355"/>
      <c r="I355"/>
      <c r="J355"/>
      <c r="K355" s="5"/>
      <c r="L355"/>
      <c r="M355"/>
      <c r="N355"/>
      <c r="O355"/>
      <c r="P355"/>
      <c r="Q355"/>
      <c r="R355"/>
    </row>
    <row r="356" spans="1:18" s="4" customFormat="1" x14ac:dyDescent="0.3">
      <c r="A356" s="5"/>
      <c r="B356"/>
      <c r="C356"/>
      <c r="D356"/>
      <c r="E356"/>
      <c r="F356"/>
      <c r="G356"/>
      <c r="H356"/>
      <c r="I356"/>
      <c r="J356"/>
      <c r="K356" s="5"/>
      <c r="L356"/>
      <c r="M356"/>
      <c r="N356"/>
      <c r="O356"/>
      <c r="P356"/>
      <c r="Q356"/>
      <c r="R356"/>
    </row>
    <row r="357" spans="1:18" s="4" customFormat="1" x14ac:dyDescent="0.3">
      <c r="A357" s="5"/>
      <c r="B357"/>
      <c r="C357"/>
      <c r="D357"/>
      <c r="E357"/>
      <c r="F357"/>
      <c r="G357"/>
      <c r="H357"/>
      <c r="I357"/>
      <c r="J357"/>
      <c r="K357" s="5"/>
      <c r="L357"/>
      <c r="M357"/>
      <c r="N357"/>
      <c r="O357"/>
      <c r="P357"/>
      <c r="Q357"/>
      <c r="R357"/>
    </row>
    <row r="358" spans="1:18" s="4" customFormat="1" x14ac:dyDescent="0.3">
      <c r="A358" s="5"/>
      <c r="B358"/>
      <c r="C358"/>
      <c r="D358"/>
      <c r="E358"/>
      <c r="F358"/>
      <c r="G358"/>
      <c r="H358"/>
      <c r="I358"/>
      <c r="J358"/>
      <c r="K358" s="5"/>
      <c r="L358"/>
      <c r="M358"/>
      <c r="N358"/>
      <c r="O358"/>
      <c r="P358"/>
      <c r="Q358"/>
      <c r="R358"/>
    </row>
    <row r="359" spans="1:18" s="4" customFormat="1" x14ac:dyDescent="0.3">
      <c r="A359" s="5"/>
      <c r="B359"/>
      <c r="C359"/>
      <c r="D359"/>
      <c r="E359"/>
      <c r="F359"/>
      <c r="G359"/>
      <c r="H359"/>
      <c r="I359"/>
      <c r="J359"/>
      <c r="K359" s="5"/>
      <c r="L359"/>
      <c r="M359"/>
      <c r="N359"/>
      <c r="O359"/>
      <c r="P359"/>
      <c r="Q359"/>
      <c r="R359"/>
    </row>
    <row r="360" spans="1:18" s="4" customFormat="1" x14ac:dyDescent="0.3">
      <c r="A360" s="5"/>
      <c r="B360"/>
      <c r="C360"/>
      <c r="D360"/>
      <c r="E360"/>
      <c r="F360"/>
      <c r="G360"/>
      <c r="H360"/>
      <c r="I360"/>
      <c r="J360"/>
      <c r="K360" s="5"/>
      <c r="L360"/>
      <c r="M360"/>
      <c r="N360"/>
      <c r="O360"/>
      <c r="P360"/>
      <c r="Q360"/>
      <c r="R360"/>
    </row>
    <row r="361" spans="1:18" s="4" customFormat="1" x14ac:dyDescent="0.3">
      <c r="A361" s="5"/>
      <c r="B361"/>
      <c r="C361"/>
      <c r="D361"/>
      <c r="E361"/>
      <c r="F361"/>
      <c r="G361"/>
      <c r="H361"/>
      <c r="I361"/>
      <c r="J361"/>
      <c r="K361" s="5"/>
      <c r="L361"/>
      <c r="M361"/>
      <c r="N361"/>
      <c r="O361"/>
      <c r="P361"/>
      <c r="Q361"/>
      <c r="R361"/>
    </row>
    <row r="362" spans="1:18" s="4" customFormat="1" x14ac:dyDescent="0.3">
      <c r="A362" s="5"/>
      <c r="B362"/>
      <c r="C362"/>
      <c r="D362"/>
      <c r="E362"/>
      <c r="F362"/>
      <c r="G362"/>
      <c r="H362"/>
      <c r="I362"/>
      <c r="J362"/>
      <c r="K362" s="5"/>
      <c r="L362"/>
      <c r="M362"/>
      <c r="N362"/>
      <c r="O362"/>
      <c r="P362"/>
      <c r="Q362"/>
      <c r="R362"/>
    </row>
    <row r="363" spans="1:18" s="4" customFormat="1" x14ac:dyDescent="0.3">
      <c r="A363" s="5"/>
      <c r="B363"/>
      <c r="C363"/>
      <c r="D363"/>
      <c r="E363"/>
      <c r="F363"/>
      <c r="G363"/>
      <c r="H363"/>
      <c r="I363"/>
      <c r="J363"/>
      <c r="K363" s="5"/>
      <c r="L363"/>
      <c r="M363"/>
      <c r="N363"/>
      <c r="O363"/>
      <c r="P363"/>
      <c r="Q363"/>
      <c r="R363"/>
    </row>
    <row r="364" spans="1:18" s="4" customFormat="1" x14ac:dyDescent="0.3">
      <c r="A364" s="5"/>
      <c r="B364"/>
      <c r="C364"/>
      <c r="D364"/>
      <c r="E364"/>
      <c r="F364"/>
      <c r="G364"/>
      <c r="H364"/>
      <c r="I364"/>
      <c r="J364"/>
      <c r="K364" s="5"/>
      <c r="L364"/>
      <c r="M364"/>
      <c r="N364"/>
      <c r="O364"/>
      <c r="P364"/>
      <c r="Q364"/>
      <c r="R364"/>
    </row>
    <row r="365" spans="1:18" s="4" customFormat="1" x14ac:dyDescent="0.3">
      <c r="A365" s="5"/>
      <c r="B365"/>
      <c r="C365"/>
      <c r="D365"/>
      <c r="E365"/>
      <c r="F365"/>
      <c r="G365"/>
      <c r="H365"/>
      <c r="I365"/>
      <c r="J365"/>
      <c r="K365" s="5"/>
      <c r="L365"/>
      <c r="M365"/>
      <c r="N365"/>
      <c r="O365"/>
      <c r="P365"/>
      <c r="Q365"/>
      <c r="R365"/>
    </row>
    <row r="366" spans="1:18" s="4" customFormat="1" x14ac:dyDescent="0.3">
      <c r="A366" s="5"/>
      <c r="B366"/>
      <c r="C366"/>
      <c r="D366"/>
      <c r="E366"/>
      <c r="F366"/>
      <c r="G366"/>
      <c r="H366"/>
      <c r="I366"/>
      <c r="J366"/>
      <c r="K366" s="5"/>
      <c r="L366"/>
      <c r="M366"/>
      <c r="N366"/>
      <c r="O366"/>
      <c r="P366"/>
      <c r="Q366"/>
      <c r="R366"/>
    </row>
    <row r="367" spans="1:18" s="4" customFormat="1" x14ac:dyDescent="0.3">
      <c r="A367" s="5"/>
      <c r="B367"/>
      <c r="C367"/>
      <c r="D367"/>
      <c r="E367"/>
      <c r="F367"/>
      <c r="G367"/>
      <c r="H367"/>
      <c r="I367"/>
      <c r="J367"/>
      <c r="K367" s="5"/>
      <c r="L367"/>
      <c r="M367"/>
      <c r="N367"/>
      <c r="O367"/>
      <c r="P367"/>
      <c r="Q367"/>
      <c r="R367"/>
    </row>
    <row r="368" spans="1:18" s="4" customFormat="1" x14ac:dyDescent="0.3">
      <c r="A368" s="5"/>
      <c r="B368"/>
      <c r="C368"/>
      <c r="D368"/>
      <c r="E368"/>
      <c r="F368"/>
      <c r="G368"/>
      <c r="H368"/>
      <c r="I368"/>
      <c r="J368"/>
      <c r="K368" s="5"/>
      <c r="L368"/>
      <c r="M368"/>
      <c r="N368"/>
      <c r="O368"/>
      <c r="P368"/>
      <c r="Q368"/>
      <c r="R368"/>
    </row>
    <row r="369" spans="1:18" s="4" customFormat="1" x14ac:dyDescent="0.3">
      <c r="A369" s="5"/>
      <c r="B369"/>
      <c r="C369"/>
      <c r="D369"/>
      <c r="E369"/>
      <c r="F369"/>
      <c r="G369"/>
      <c r="H369"/>
      <c r="I369"/>
      <c r="J369"/>
      <c r="K369" s="5"/>
      <c r="L369"/>
      <c r="M369"/>
      <c r="N369"/>
      <c r="O369"/>
      <c r="P369"/>
      <c r="Q369"/>
      <c r="R369"/>
    </row>
    <row r="370" spans="1:18" s="4" customFormat="1" x14ac:dyDescent="0.3">
      <c r="A370" s="5"/>
      <c r="B370"/>
      <c r="C370"/>
      <c r="D370"/>
      <c r="E370"/>
      <c r="F370"/>
      <c r="G370"/>
      <c r="H370"/>
      <c r="I370"/>
      <c r="J370"/>
      <c r="K370" s="5"/>
      <c r="L370"/>
      <c r="M370"/>
      <c r="N370"/>
      <c r="O370"/>
      <c r="P370"/>
      <c r="Q370"/>
      <c r="R370"/>
    </row>
    <row r="371" spans="1:18" s="4" customFormat="1" x14ac:dyDescent="0.3">
      <c r="A371" s="5"/>
      <c r="B371"/>
      <c r="C371"/>
      <c r="D371"/>
      <c r="E371"/>
      <c r="F371"/>
      <c r="G371"/>
      <c r="H371"/>
      <c r="I371"/>
      <c r="J371"/>
      <c r="K371" s="5"/>
      <c r="L371"/>
      <c r="M371"/>
      <c r="N371"/>
      <c r="O371"/>
      <c r="P371"/>
      <c r="Q371"/>
      <c r="R371"/>
    </row>
    <row r="372" spans="1:18" s="4" customFormat="1" x14ac:dyDescent="0.3">
      <c r="A372" s="5"/>
      <c r="B372"/>
      <c r="C372"/>
      <c r="D372"/>
      <c r="E372"/>
      <c r="F372"/>
      <c r="G372"/>
      <c r="H372"/>
      <c r="I372"/>
      <c r="J372"/>
      <c r="K372" s="5"/>
      <c r="L372"/>
      <c r="M372"/>
      <c r="N372"/>
      <c r="O372"/>
      <c r="P372"/>
      <c r="Q372"/>
      <c r="R372"/>
    </row>
    <row r="373" spans="1:18" s="4" customFormat="1" x14ac:dyDescent="0.3">
      <c r="A373" s="5"/>
      <c r="B373"/>
      <c r="C373"/>
      <c r="D373"/>
      <c r="E373"/>
      <c r="F373"/>
      <c r="G373"/>
      <c r="H373"/>
      <c r="I373"/>
      <c r="J373"/>
      <c r="K373" s="5"/>
      <c r="L373"/>
      <c r="M373"/>
      <c r="N373"/>
      <c r="O373"/>
      <c r="P373"/>
      <c r="Q373"/>
      <c r="R373"/>
    </row>
    <row r="374" spans="1:18" s="4" customFormat="1" x14ac:dyDescent="0.3">
      <c r="A374" s="5"/>
      <c r="B374"/>
      <c r="C374"/>
      <c r="D374"/>
      <c r="E374"/>
      <c r="F374"/>
      <c r="G374"/>
      <c r="H374"/>
      <c r="I374"/>
      <c r="J374"/>
      <c r="K374" s="5"/>
      <c r="L374"/>
      <c r="M374"/>
      <c r="N374"/>
      <c r="O374"/>
      <c r="P374"/>
      <c r="Q374"/>
      <c r="R374"/>
    </row>
    <row r="375" spans="1:18" s="4" customFormat="1" x14ac:dyDescent="0.3">
      <c r="A375" s="5"/>
      <c r="B375"/>
      <c r="C375"/>
      <c r="D375"/>
      <c r="E375"/>
      <c r="F375"/>
      <c r="G375"/>
      <c r="H375"/>
      <c r="I375"/>
      <c r="J375"/>
      <c r="K375" s="5"/>
      <c r="L375"/>
      <c r="M375"/>
      <c r="N375"/>
      <c r="O375"/>
      <c r="P375"/>
      <c r="Q375"/>
      <c r="R375"/>
    </row>
    <row r="376" spans="1:18" s="4" customFormat="1" x14ac:dyDescent="0.3">
      <c r="A376" s="5"/>
      <c r="B376"/>
      <c r="C376"/>
      <c r="D376"/>
      <c r="E376"/>
      <c r="F376"/>
      <c r="G376"/>
      <c r="H376"/>
      <c r="I376"/>
      <c r="J376"/>
      <c r="K376" s="5"/>
      <c r="L376"/>
      <c r="M376"/>
      <c r="N376"/>
      <c r="O376"/>
      <c r="P376"/>
      <c r="Q376"/>
      <c r="R376"/>
    </row>
    <row r="377" spans="1:18" s="4" customFormat="1" x14ac:dyDescent="0.3">
      <c r="A377" s="5"/>
      <c r="B377"/>
      <c r="C377"/>
      <c r="D377"/>
      <c r="E377"/>
      <c r="F377"/>
      <c r="G377"/>
      <c r="H377"/>
      <c r="I377"/>
      <c r="J377"/>
      <c r="K377" s="5"/>
      <c r="L377"/>
      <c r="M377"/>
      <c r="N377"/>
      <c r="O377"/>
      <c r="P377"/>
      <c r="Q377"/>
      <c r="R377"/>
    </row>
    <row r="378" spans="1:18" s="4" customFormat="1" x14ac:dyDescent="0.3">
      <c r="A378" s="5"/>
      <c r="B378"/>
      <c r="C378"/>
      <c r="D378"/>
      <c r="E378"/>
      <c r="F378"/>
      <c r="G378"/>
      <c r="H378"/>
      <c r="I378"/>
      <c r="J378"/>
      <c r="K378" s="5"/>
      <c r="L378"/>
      <c r="M378"/>
      <c r="N378"/>
      <c r="O378"/>
      <c r="P378"/>
      <c r="Q378"/>
      <c r="R378"/>
    </row>
    <row r="379" spans="1:18" s="4" customFormat="1" x14ac:dyDescent="0.3">
      <c r="A379" s="5"/>
      <c r="B379"/>
      <c r="C379"/>
      <c r="D379"/>
      <c r="E379"/>
      <c r="F379"/>
      <c r="G379"/>
      <c r="H379"/>
      <c r="I379"/>
      <c r="J379"/>
      <c r="K379" s="5"/>
      <c r="L379"/>
      <c r="M379"/>
      <c r="N379"/>
      <c r="O379"/>
      <c r="P379"/>
      <c r="Q379"/>
      <c r="R379"/>
    </row>
    <row r="380" spans="1:18" s="4" customFormat="1" x14ac:dyDescent="0.3">
      <c r="A380" s="5"/>
      <c r="B380"/>
      <c r="C380"/>
      <c r="D380"/>
      <c r="E380"/>
      <c r="F380"/>
      <c r="G380"/>
      <c r="H380"/>
      <c r="I380"/>
      <c r="J380"/>
      <c r="K380" s="5"/>
      <c r="L380"/>
      <c r="M380"/>
      <c r="N380"/>
      <c r="O380"/>
      <c r="P380"/>
      <c r="Q380"/>
      <c r="R380"/>
    </row>
    <row r="381" spans="1:18" s="4" customFormat="1" x14ac:dyDescent="0.3">
      <c r="A381" s="5"/>
      <c r="B381"/>
      <c r="C381"/>
      <c r="D381"/>
      <c r="E381"/>
      <c r="F381"/>
      <c r="G381"/>
      <c r="H381"/>
      <c r="I381"/>
      <c r="J381"/>
      <c r="K381" s="5"/>
      <c r="L381"/>
      <c r="M381"/>
      <c r="N381"/>
      <c r="O381"/>
      <c r="P381"/>
      <c r="Q381"/>
      <c r="R381"/>
    </row>
    <row r="382" spans="1:18" s="4" customFormat="1" x14ac:dyDescent="0.3">
      <c r="A382" s="5"/>
      <c r="B382"/>
      <c r="C382"/>
      <c r="D382"/>
      <c r="E382"/>
      <c r="F382"/>
      <c r="G382"/>
      <c r="H382"/>
      <c r="I382"/>
      <c r="J382"/>
      <c r="K382" s="5"/>
      <c r="L382"/>
      <c r="M382"/>
      <c r="N382"/>
      <c r="O382"/>
      <c r="P382"/>
      <c r="Q382"/>
      <c r="R382"/>
    </row>
    <row r="383" spans="1:18" s="4" customFormat="1" x14ac:dyDescent="0.3">
      <c r="A383" s="5"/>
      <c r="B383"/>
      <c r="C383"/>
      <c r="D383"/>
      <c r="E383"/>
      <c r="F383"/>
      <c r="G383"/>
      <c r="H383"/>
      <c r="I383"/>
      <c r="J383"/>
      <c r="K383" s="5"/>
      <c r="L383"/>
      <c r="M383"/>
      <c r="N383"/>
      <c r="O383"/>
      <c r="P383"/>
      <c r="Q383"/>
      <c r="R383"/>
    </row>
    <row r="384" spans="1:18" s="4" customFormat="1" x14ac:dyDescent="0.3">
      <c r="A384" s="5"/>
      <c r="B384"/>
      <c r="C384"/>
      <c r="D384"/>
      <c r="E384"/>
      <c r="F384"/>
      <c r="G384"/>
      <c r="H384"/>
      <c r="I384"/>
      <c r="J384"/>
      <c r="K384" s="5"/>
      <c r="L384"/>
      <c r="M384"/>
      <c r="N384"/>
      <c r="O384"/>
      <c r="P384"/>
      <c r="Q384"/>
      <c r="R384"/>
    </row>
    <row r="385" spans="1:18" s="4" customFormat="1" x14ac:dyDescent="0.3">
      <c r="A385" s="5"/>
      <c r="B385"/>
      <c r="C385"/>
      <c r="D385"/>
      <c r="E385"/>
      <c r="F385"/>
      <c r="G385"/>
      <c r="H385"/>
      <c r="I385"/>
      <c r="J385"/>
      <c r="K385" s="5"/>
      <c r="L385"/>
      <c r="M385"/>
      <c r="N385"/>
      <c r="O385"/>
      <c r="P385"/>
      <c r="Q385"/>
      <c r="R385"/>
    </row>
    <row r="386" spans="1:18" s="4" customFormat="1" x14ac:dyDescent="0.3">
      <c r="A386" s="5"/>
      <c r="B386"/>
      <c r="C386"/>
      <c r="D386"/>
      <c r="E386"/>
      <c r="F386"/>
      <c r="G386"/>
      <c r="H386"/>
      <c r="I386"/>
      <c r="J386"/>
      <c r="K386" s="5"/>
      <c r="L386"/>
      <c r="M386"/>
      <c r="N386"/>
      <c r="O386"/>
      <c r="P386"/>
      <c r="Q386"/>
      <c r="R386"/>
    </row>
    <row r="387" spans="1:18" s="4" customFormat="1" x14ac:dyDescent="0.3">
      <c r="A387" s="5"/>
      <c r="B387"/>
      <c r="C387"/>
      <c r="D387"/>
      <c r="E387"/>
      <c r="F387"/>
      <c r="G387"/>
      <c r="H387"/>
      <c r="I387"/>
      <c r="J387"/>
      <c r="K387" s="5"/>
      <c r="L387"/>
      <c r="M387"/>
      <c r="N387"/>
      <c r="O387"/>
      <c r="P387"/>
      <c r="Q387"/>
      <c r="R387"/>
    </row>
    <row r="388" spans="1:18" s="4" customFormat="1" x14ac:dyDescent="0.3">
      <c r="A388" s="5"/>
      <c r="B388"/>
      <c r="C388"/>
      <c r="D388"/>
      <c r="E388"/>
      <c r="F388"/>
      <c r="G388"/>
      <c r="H388"/>
      <c r="I388"/>
      <c r="J388"/>
      <c r="K388" s="5"/>
      <c r="L388"/>
      <c r="M388"/>
      <c r="N388"/>
      <c r="O388"/>
      <c r="P388"/>
      <c r="Q388"/>
      <c r="R388"/>
    </row>
    <row r="389" spans="1:18" s="4" customFormat="1" x14ac:dyDescent="0.3">
      <c r="A389" s="5"/>
      <c r="B389"/>
      <c r="C389"/>
      <c r="D389"/>
      <c r="E389"/>
      <c r="F389"/>
      <c r="G389"/>
      <c r="H389"/>
      <c r="I389"/>
      <c r="J389"/>
      <c r="K389" s="5"/>
      <c r="L389"/>
      <c r="M389"/>
      <c r="N389"/>
      <c r="O389"/>
      <c r="P389"/>
      <c r="Q389"/>
      <c r="R389"/>
    </row>
    <row r="390" spans="1:18" s="4" customFormat="1" x14ac:dyDescent="0.3">
      <c r="A390" s="5"/>
      <c r="B390"/>
      <c r="C390"/>
      <c r="D390"/>
      <c r="E390"/>
      <c r="F390"/>
      <c r="G390"/>
      <c r="H390"/>
      <c r="I390"/>
      <c r="J390"/>
      <c r="K390" s="5"/>
      <c r="L390"/>
      <c r="M390"/>
      <c r="N390"/>
      <c r="O390"/>
      <c r="P390"/>
      <c r="Q390"/>
      <c r="R390"/>
    </row>
    <row r="391" spans="1:18" s="4" customFormat="1" x14ac:dyDescent="0.3">
      <c r="A391" s="5"/>
      <c r="B391"/>
      <c r="C391"/>
      <c r="D391"/>
      <c r="E391"/>
      <c r="F391"/>
      <c r="G391"/>
      <c r="H391"/>
      <c r="I391"/>
      <c r="J391"/>
      <c r="K391" s="5"/>
      <c r="L391"/>
      <c r="M391"/>
      <c r="N391"/>
      <c r="O391"/>
      <c r="P391"/>
      <c r="Q391"/>
      <c r="R391"/>
    </row>
    <row r="392" spans="1:18" s="4" customFormat="1" x14ac:dyDescent="0.3">
      <c r="A392" s="5"/>
      <c r="B392"/>
      <c r="C392"/>
      <c r="D392"/>
      <c r="E392"/>
      <c r="F392"/>
      <c r="G392"/>
      <c r="H392"/>
      <c r="I392"/>
      <c r="J392"/>
      <c r="K392" s="5"/>
      <c r="L392"/>
      <c r="M392"/>
      <c r="N392"/>
      <c r="O392"/>
      <c r="P392"/>
      <c r="Q392"/>
      <c r="R392"/>
    </row>
    <row r="393" spans="1:18" s="4" customFormat="1" x14ac:dyDescent="0.3">
      <c r="A393" s="5"/>
      <c r="B393"/>
      <c r="C393"/>
      <c r="D393"/>
      <c r="E393"/>
      <c r="F393"/>
      <c r="G393"/>
      <c r="H393"/>
      <c r="I393"/>
      <c r="J393"/>
      <c r="K393" s="5"/>
      <c r="L393"/>
      <c r="M393"/>
      <c r="N393"/>
      <c r="O393"/>
      <c r="P393"/>
      <c r="Q393"/>
      <c r="R393"/>
    </row>
    <row r="394" spans="1:18" s="4" customFormat="1" x14ac:dyDescent="0.3">
      <c r="A394" s="5"/>
      <c r="B394"/>
      <c r="C394"/>
      <c r="D394"/>
      <c r="E394"/>
      <c r="F394"/>
      <c r="G394"/>
      <c r="H394"/>
      <c r="I394"/>
      <c r="J394"/>
      <c r="K394" s="5"/>
      <c r="L394"/>
      <c r="M394"/>
      <c r="N394"/>
      <c r="O394"/>
      <c r="P394"/>
      <c r="Q394"/>
      <c r="R394"/>
    </row>
    <row r="395" spans="1:18" s="4" customFormat="1" x14ac:dyDescent="0.3">
      <c r="A395" s="5"/>
      <c r="B395"/>
      <c r="C395"/>
      <c r="D395"/>
      <c r="E395"/>
      <c r="F395"/>
      <c r="G395"/>
      <c r="H395"/>
      <c r="I395"/>
      <c r="J395"/>
      <c r="K395" s="5"/>
      <c r="L395"/>
      <c r="M395"/>
      <c r="N395"/>
      <c r="O395"/>
      <c r="P395"/>
      <c r="Q395"/>
      <c r="R395"/>
    </row>
    <row r="396" spans="1:18" s="4" customFormat="1" x14ac:dyDescent="0.3">
      <c r="A396" s="5"/>
      <c r="B396"/>
      <c r="C396"/>
      <c r="D396"/>
      <c r="E396"/>
      <c r="F396"/>
      <c r="G396"/>
      <c r="H396"/>
      <c r="I396"/>
      <c r="J396"/>
      <c r="K396" s="5"/>
      <c r="L396"/>
      <c r="M396"/>
      <c r="N396"/>
      <c r="O396"/>
      <c r="P396"/>
      <c r="Q396"/>
      <c r="R396"/>
    </row>
    <row r="397" spans="1:18" s="4" customFormat="1" x14ac:dyDescent="0.3">
      <c r="A397" s="5"/>
      <c r="B397"/>
      <c r="C397"/>
      <c r="D397"/>
      <c r="E397"/>
      <c r="F397"/>
      <c r="G397"/>
      <c r="H397"/>
      <c r="I397"/>
      <c r="J397"/>
      <c r="K397" s="5"/>
      <c r="L397"/>
      <c r="M397"/>
      <c r="N397"/>
      <c r="O397"/>
      <c r="P397"/>
      <c r="Q397"/>
      <c r="R397"/>
    </row>
    <row r="398" spans="1:18" s="4" customFormat="1" x14ac:dyDescent="0.3">
      <c r="A398" s="5"/>
      <c r="B398"/>
      <c r="C398"/>
      <c r="D398"/>
      <c r="E398"/>
      <c r="F398"/>
      <c r="G398"/>
      <c r="H398"/>
      <c r="I398"/>
      <c r="J398"/>
      <c r="K398" s="5"/>
      <c r="L398"/>
      <c r="M398"/>
      <c r="N398"/>
      <c r="O398"/>
      <c r="P398"/>
      <c r="Q398"/>
      <c r="R398"/>
    </row>
    <row r="399" spans="1:18" s="4" customFormat="1" x14ac:dyDescent="0.3">
      <c r="A399" s="5"/>
      <c r="B399"/>
      <c r="C399"/>
      <c r="D399"/>
      <c r="E399"/>
      <c r="F399"/>
      <c r="G399"/>
      <c r="H399"/>
      <c r="I399"/>
      <c r="J399"/>
      <c r="K399" s="5"/>
      <c r="L399"/>
      <c r="M399"/>
      <c r="N399"/>
      <c r="O399"/>
      <c r="P399"/>
      <c r="Q399"/>
      <c r="R399"/>
    </row>
    <row r="400" spans="1:18" s="4" customFormat="1" x14ac:dyDescent="0.3">
      <c r="A400" s="5"/>
      <c r="B400"/>
      <c r="C400"/>
      <c r="D400"/>
      <c r="E400"/>
      <c r="F400"/>
      <c r="G400"/>
      <c r="H400"/>
      <c r="I400"/>
      <c r="J400"/>
      <c r="K400" s="5"/>
      <c r="L400"/>
      <c r="M400"/>
      <c r="N400"/>
      <c r="O400"/>
      <c r="P400"/>
      <c r="Q400"/>
      <c r="R400"/>
    </row>
    <row r="401" spans="1:18" s="4" customFormat="1" x14ac:dyDescent="0.3">
      <c r="A401" s="5"/>
      <c r="B401"/>
      <c r="C401"/>
      <c r="D401"/>
      <c r="E401"/>
      <c r="F401"/>
      <c r="G401"/>
      <c r="H401"/>
      <c r="I401"/>
      <c r="J401"/>
      <c r="K401" s="5"/>
      <c r="L401"/>
      <c r="M401"/>
      <c r="N401"/>
      <c r="O401"/>
      <c r="P401"/>
      <c r="Q401"/>
      <c r="R401"/>
    </row>
    <row r="402" spans="1:18" s="4" customFormat="1" x14ac:dyDescent="0.3">
      <c r="A402" s="5"/>
      <c r="B402"/>
      <c r="C402"/>
      <c r="D402"/>
      <c r="E402"/>
      <c r="F402"/>
      <c r="G402"/>
      <c r="H402"/>
      <c r="I402"/>
      <c r="J402"/>
      <c r="K402" s="5"/>
      <c r="L402"/>
      <c r="M402"/>
      <c r="N402"/>
      <c r="O402"/>
      <c r="P402"/>
      <c r="Q402"/>
      <c r="R402"/>
    </row>
    <row r="403" spans="1:18" s="4" customFormat="1" x14ac:dyDescent="0.3">
      <c r="A403" s="5"/>
      <c r="B403"/>
      <c r="C403"/>
      <c r="D403"/>
      <c r="E403"/>
      <c r="F403"/>
      <c r="G403"/>
      <c r="H403"/>
      <c r="I403"/>
      <c r="J403"/>
      <c r="K403" s="5"/>
      <c r="L403"/>
      <c r="M403"/>
      <c r="N403"/>
      <c r="O403"/>
      <c r="P403"/>
      <c r="Q403"/>
      <c r="R403"/>
    </row>
    <row r="404" spans="1:18" s="4" customFormat="1" x14ac:dyDescent="0.3">
      <c r="A404" s="5"/>
      <c r="B404"/>
      <c r="C404"/>
      <c r="D404"/>
      <c r="E404"/>
      <c r="F404"/>
      <c r="G404"/>
      <c r="H404"/>
      <c r="I404"/>
      <c r="J404"/>
      <c r="K404" s="5"/>
      <c r="L404"/>
      <c r="M404"/>
      <c r="N404"/>
      <c r="O404"/>
      <c r="P404"/>
      <c r="Q404"/>
      <c r="R404"/>
    </row>
    <row r="405" spans="1:18" s="4" customFormat="1" x14ac:dyDescent="0.3">
      <c r="A405" s="5"/>
      <c r="B405"/>
      <c r="C405"/>
      <c r="D405"/>
      <c r="E405"/>
      <c r="F405"/>
      <c r="G405"/>
      <c r="H405"/>
      <c r="I405"/>
      <c r="J405"/>
      <c r="K405" s="5"/>
      <c r="L405"/>
      <c r="M405"/>
      <c r="N405"/>
      <c r="O405"/>
      <c r="P405"/>
      <c r="Q405"/>
      <c r="R405"/>
    </row>
    <row r="406" spans="1:18" s="4" customFormat="1" x14ac:dyDescent="0.3">
      <c r="A406" s="5"/>
      <c r="B406"/>
      <c r="C406"/>
      <c r="D406"/>
      <c r="E406"/>
      <c r="F406"/>
      <c r="G406"/>
      <c r="H406"/>
      <c r="I406"/>
      <c r="J406"/>
      <c r="K406" s="5"/>
      <c r="L406"/>
      <c r="M406"/>
      <c r="N406"/>
      <c r="O406"/>
      <c r="P406"/>
      <c r="Q406"/>
      <c r="R406"/>
    </row>
    <row r="407" spans="1:18" s="4" customFormat="1" x14ac:dyDescent="0.3">
      <c r="A407" s="5"/>
      <c r="B407"/>
      <c r="C407"/>
      <c r="D407"/>
      <c r="E407"/>
      <c r="F407"/>
      <c r="G407"/>
      <c r="H407"/>
      <c r="I407"/>
      <c r="J407"/>
      <c r="K407" s="5"/>
      <c r="L407"/>
      <c r="M407"/>
      <c r="N407"/>
      <c r="O407"/>
      <c r="P407"/>
      <c r="Q407"/>
      <c r="R407"/>
    </row>
    <row r="408" spans="1:18" s="4" customFormat="1" x14ac:dyDescent="0.3">
      <c r="A408" s="5"/>
      <c r="B408"/>
      <c r="C408"/>
      <c r="D408"/>
      <c r="E408"/>
      <c r="F408"/>
      <c r="G408"/>
      <c r="H408"/>
      <c r="I408"/>
      <c r="J408"/>
      <c r="K408" s="5"/>
      <c r="L408"/>
      <c r="M408"/>
      <c r="N408"/>
      <c r="O408"/>
      <c r="P408"/>
      <c r="Q408"/>
      <c r="R408"/>
    </row>
    <row r="409" spans="1:18" s="4" customFormat="1" x14ac:dyDescent="0.3">
      <c r="A409" s="5"/>
      <c r="B409"/>
      <c r="C409"/>
      <c r="D409"/>
      <c r="E409"/>
      <c r="F409"/>
      <c r="G409"/>
      <c r="H409"/>
      <c r="I409"/>
      <c r="J409"/>
      <c r="K409" s="5"/>
      <c r="L409"/>
      <c r="M409"/>
      <c r="N409"/>
      <c r="O409"/>
      <c r="P409"/>
      <c r="Q409"/>
      <c r="R409"/>
    </row>
    <row r="410" spans="1:18" s="4" customFormat="1" x14ac:dyDescent="0.3">
      <c r="A410" s="5"/>
      <c r="B410"/>
      <c r="C410"/>
      <c r="D410"/>
      <c r="E410"/>
      <c r="F410"/>
      <c r="G410"/>
      <c r="H410"/>
      <c r="I410"/>
      <c r="J410"/>
      <c r="K410" s="5"/>
      <c r="L410"/>
      <c r="M410"/>
      <c r="N410"/>
      <c r="O410"/>
      <c r="P410"/>
      <c r="Q410"/>
      <c r="R410"/>
    </row>
    <row r="411" spans="1:18" s="4" customFormat="1" x14ac:dyDescent="0.3">
      <c r="A411" s="5"/>
      <c r="B411"/>
      <c r="C411"/>
      <c r="D411"/>
      <c r="E411"/>
      <c r="F411"/>
      <c r="G411"/>
      <c r="H411"/>
      <c r="I411"/>
      <c r="J411"/>
      <c r="K411" s="5"/>
      <c r="L411"/>
      <c r="M411"/>
      <c r="N411"/>
      <c r="O411"/>
      <c r="P411"/>
      <c r="Q411"/>
      <c r="R411"/>
    </row>
    <row r="412" spans="1:18" s="4" customFormat="1" x14ac:dyDescent="0.3">
      <c r="A412" s="5"/>
      <c r="B412"/>
      <c r="C412"/>
      <c r="D412"/>
      <c r="E412"/>
      <c r="F412"/>
      <c r="G412"/>
      <c r="H412"/>
      <c r="I412"/>
      <c r="J412"/>
      <c r="K412" s="5"/>
      <c r="L412"/>
      <c r="M412"/>
      <c r="N412"/>
      <c r="O412"/>
      <c r="P412"/>
      <c r="Q412"/>
      <c r="R412"/>
    </row>
    <row r="413" spans="1:18" s="4" customFormat="1" x14ac:dyDescent="0.3">
      <c r="A413" s="5"/>
      <c r="B413"/>
      <c r="C413"/>
      <c r="D413"/>
      <c r="E413"/>
      <c r="F413"/>
      <c r="G413"/>
      <c r="H413"/>
      <c r="I413"/>
      <c r="J413"/>
      <c r="K413" s="5"/>
      <c r="L413"/>
      <c r="M413"/>
      <c r="N413"/>
      <c r="O413"/>
      <c r="P413"/>
      <c r="Q413"/>
      <c r="R413"/>
    </row>
    <row r="414" spans="1:18" s="4" customFormat="1" x14ac:dyDescent="0.3">
      <c r="A414" s="5"/>
      <c r="B414"/>
      <c r="C414"/>
      <c r="D414"/>
      <c r="E414"/>
      <c r="F414"/>
      <c r="G414"/>
      <c r="H414"/>
      <c r="I414"/>
      <c r="J414"/>
      <c r="K414" s="5"/>
      <c r="L414"/>
      <c r="M414"/>
      <c r="N414"/>
      <c r="O414"/>
      <c r="P414"/>
      <c r="Q414"/>
      <c r="R414"/>
    </row>
    <row r="415" spans="1:18" s="4" customFormat="1" x14ac:dyDescent="0.3">
      <c r="A415" s="5"/>
      <c r="B415"/>
      <c r="C415"/>
      <c r="D415"/>
      <c r="E415"/>
      <c r="F415"/>
      <c r="G415"/>
      <c r="H415"/>
      <c r="I415"/>
      <c r="J415"/>
      <c r="K415" s="5"/>
      <c r="L415"/>
      <c r="M415"/>
      <c r="N415"/>
      <c r="O415"/>
      <c r="P415"/>
      <c r="Q415"/>
      <c r="R415"/>
    </row>
    <row r="416" spans="1:18" s="4" customFormat="1" x14ac:dyDescent="0.3">
      <c r="A416" s="5"/>
      <c r="B416"/>
      <c r="C416"/>
      <c r="D416"/>
      <c r="E416"/>
      <c r="F416"/>
      <c r="G416"/>
      <c r="H416"/>
      <c r="I416"/>
      <c r="J416"/>
      <c r="K416" s="5"/>
      <c r="L416"/>
      <c r="M416"/>
      <c r="N416"/>
      <c r="O416"/>
      <c r="P416"/>
      <c r="Q416"/>
      <c r="R416"/>
    </row>
    <row r="417" spans="1:18" s="4" customFormat="1" x14ac:dyDescent="0.3">
      <c r="A417" s="5"/>
      <c r="B417"/>
      <c r="C417"/>
      <c r="D417"/>
      <c r="E417"/>
      <c r="F417"/>
      <c r="G417"/>
      <c r="H417"/>
      <c r="I417"/>
      <c r="J417"/>
      <c r="K417" s="5"/>
      <c r="L417"/>
      <c r="M417"/>
      <c r="N417"/>
      <c r="O417"/>
      <c r="P417"/>
      <c r="Q417"/>
      <c r="R417"/>
    </row>
    <row r="418" spans="1:18" s="4" customFormat="1" x14ac:dyDescent="0.3">
      <c r="A418" s="5"/>
      <c r="B418"/>
      <c r="C418"/>
      <c r="D418"/>
      <c r="E418"/>
      <c r="F418"/>
      <c r="G418"/>
      <c r="H418"/>
      <c r="I418"/>
      <c r="J418"/>
      <c r="K418" s="5"/>
      <c r="L418"/>
      <c r="M418"/>
      <c r="N418"/>
      <c r="O418"/>
      <c r="P418"/>
      <c r="Q418"/>
      <c r="R418"/>
    </row>
    <row r="419" spans="1:18" s="4" customFormat="1" x14ac:dyDescent="0.3">
      <c r="A419" s="5"/>
      <c r="B419"/>
      <c r="C419"/>
      <c r="D419"/>
      <c r="E419"/>
      <c r="F419"/>
      <c r="G419"/>
      <c r="H419"/>
      <c r="I419"/>
      <c r="J419"/>
      <c r="K419" s="5"/>
      <c r="L419"/>
      <c r="M419"/>
      <c r="N419"/>
      <c r="O419"/>
      <c r="P419"/>
      <c r="Q419"/>
      <c r="R419"/>
    </row>
    <row r="420" spans="1:18" s="4" customFormat="1" x14ac:dyDescent="0.3">
      <c r="A420" s="5"/>
      <c r="B420"/>
      <c r="C420"/>
      <c r="D420"/>
      <c r="E420"/>
      <c r="F420"/>
      <c r="G420"/>
      <c r="H420"/>
      <c r="I420"/>
      <c r="J420"/>
      <c r="K420" s="5"/>
      <c r="L420"/>
      <c r="M420"/>
      <c r="N420"/>
      <c r="O420"/>
      <c r="P420"/>
      <c r="Q420"/>
      <c r="R420"/>
    </row>
    <row r="421" spans="1:18" s="4" customFormat="1" x14ac:dyDescent="0.3">
      <c r="A421" s="5"/>
      <c r="B421"/>
      <c r="C421"/>
      <c r="D421"/>
      <c r="E421"/>
      <c r="F421"/>
      <c r="G421"/>
      <c r="H421"/>
      <c r="I421"/>
      <c r="J421"/>
      <c r="K421" s="5"/>
      <c r="L421"/>
      <c r="M421"/>
      <c r="N421"/>
      <c r="O421"/>
      <c r="P421"/>
      <c r="Q421"/>
      <c r="R421"/>
    </row>
    <row r="422" spans="1:18" s="4" customFormat="1" x14ac:dyDescent="0.3">
      <c r="A422" s="5"/>
      <c r="B422"/>
      <c r="C422"/>
      <c r="D422"/>
      <c r="E422"/>
      <c r="F422"/>
      <c r="G422"/>
      <c r="H422"/>
      <c r="I422"/>
      <c r="J422"/>
      <c r="K422" s="5"/>
      <c r="L422"/>
      <c r="M422"/>
      <c r="N422"/>
      <c r="O422"/>
      <c r="P422"/>
      <c r="Q422"/>
      <c r="R422"/>
    </row>
    <row r="423" spans="1:18" s="4" customFormat="1" x14ac:dyDescent="0.3">
      <c r="A423" s="5"/>
      <c r="B423"/>
      <c r="C423"/>
      <c r="D423"/>
      <c r="E423"/>
      <c r="F423"/>
      <c r="G423"/>
      <c r="H423"/>
      <c r="I423"/>
      <c r="J423"/>
      <c r="K423" s="5"/>
      <c r="L423"/>
      <c r="M423"/>
      <c r="N423"/>
      <c r="O423"/>
      <c r="P423"/>
      <c r="Q423"/>
      <c r="R423"/>
    </row>
    <row r="424" spans="1:18" s="4" customFormat="1" x14ac:dyDescent="0.3">
      <c r="A424" s="5"/>
      <c r="B424"/>
      <c r="C424"/>
      <c r="D424"/>
      <c r="E424"/>
      <c r="F424"/>
      <c r="G424"/>
      <c r="H424"/>
      <c r="I424"/>
      <c r="J424"/>
      <c r="K424" s="5"/>
      <c r="L424"/>
      <c r="M424"/>
      <c r="N424"/>
      <c r="O424"/>
      <c r="P424"/>
      <c r="Q424"/>
      <c r="R424"/>
    </row>
    <row r="425" spans="1:18" s="4" customFormat="1" x14ac:dyDescent="0.3">
      <c r="A425" s="5"/>
      <c r="B425"/>
      <c r="C425"/>
      <c r="D425"/>
      <c r="E425"/>
      <c r="F425"/>
      <c r="G425"/>
      <c r="H425"/>
      <c r="I425"/>
      <c r="J425"/>
      <c r="K425" s="5"/>
      <c r="L425"/>
      <c r="M425"/>
      <c r="N425"/>
      <c r="O425"/>
      <c r="P425"/>
      <c r="Q425"/>
      <c r="R425"/>
    </row>
    <row r="426" spans="1:18" s="4" customFormat="1" x14ac:dyDescent="0.3">
      <c r="A426" s="5"/>
      <c r="B426"/>
      <c r="C426"/>
      <c r="D426"/>
      <c r="E426"/>
      <c r="F426"/>
      <c r="G426"/>
      <c r="H426"/>
      <c r="I426"/>
      <c r="J426"/>
      <c r="K426" s="5"/>
      <c r="L426"/>
      <c r="M426"/>
      <c r="N426"/>
      <c r="O426"/>
      <c r="P426"/>
      <c r="Q426"/>
      <c r="R426"/>
    </row>
    <row r="427" spans="1:18" s="4" customFormat="1" x14ac:dyDescent="0.3">
      <c r="A427" s="5"/>
      <c r="B427"/>
      <c r="C427"/>
      <c r="D427"/>
      <c r="E427"/>
      <c r="F427"/>
      <c r="G427"/>
      <c r="H427"/>
      <c r="I427"/>
      <c r="J427"/>
      <c r="K427" s="5"/>
      <c r="L427"/>
      <c r="M427"/>
      <c r="N427"/>
      <c r="O427"/>
      <c r="P427"/>
      <c r="Q427"/>
      <c r="R427"/>
    </row>
    <row r="428" spans="1:18" s="4" customFormat="1" x14ac:dyDescent="0.3">
      <c r="A428" s="5"/>
      <c r="B428"/>
      <c r="C428"/>
      <c r="D428"/>
      <c r="E428"/>
      <c r="F428"/>
      <c r="G428"/>
      <c r="H428"/>
      <c r="I428"/>
      <c r="J428"/>
      <c r="K428" s="5"/>
      <c r="L428"/>
      <c r="M428"/>
      <c r="N428"/>
      <c r="O428"/>
      <c r="P428"/>
      <c r="Q428"/>
      <c r="R428"/>
    </row>
    <row r="429" spans="1:18" s="4" customFormat="1" x14ac:dyDescent="0.3">
      <c r="A429" s="5"/>
      <c r="B429"/>
      <c r="C429"/>
      <c r="D429"/>
      <c r="E429"/>
      <c r="F429"/>
      <c r="G429"/>
      <c r="H429"/>
      <c r="I429"/>
      <c r="J429"/>
      <c r="K429" s="5"/>
      <c r="L429"/>
      <c r="M429"/>
      <c r="N429"/>
      <c r="O429"/>
      <c r="P429"/>
      <c r="Q429"/>
      <c r="R429"/>
    </row>
    <row r="430" spans="1:18" s="4" customFormat="1" x14ac:dyDescent="0.3">
      <c r="A430" s="5"/>
      <c r="B430"/>
      <c r="C430"/>
      <c r="D430"/>
      <c r="E430"/>
      <c r="F430"/>
      <c r="G430"/>
      <c r="H430"/>
      <c r="I430"/>
      <c r="J430"/>
      <c r="K430" s="5"/>
      <c r="L430"/>
      <c r="M430"/>
      <c r="N430"/>
      <c r="O430"/>
      <c r="P430"/>
      <c r="Q430"/>
      <c r="R430"/>
    </row>
    <row r="431" spans="1:18" s="4" customFormat="1" x14ac:dyDescent="0.3">
      <c r="A431" s="5"/>
      <c r="B431"/>
      <c r="C431"/>
      <c r="D431"/>
      <c r="E431"/>
      <c r="F431"/>
      <c r="G431"/>
      <c r="H431"/>
      <c r="I431"/>
      <c r="J431"/>
      <c r="K431" s="5"/>
      <c r="L431"/>
      <c r="M431"/>
      <c r="N431"/>
      <c r="O431"/>
      <c r="P431"/>
      <c r="Q431"/>
      <c r="R431"/>
    </row>
    <row r="432" spans="1:18" s="4" customFormat="1" x14ac:dyDescent="0.3">
      <c r="A432" s="5"/>
      <c r="B432"/>
      <c r="C432"/>
      <c r="D432"/>
      <c r="E432"/>
      <c r="F432"/>
      <c r="G432"/>
      <c r="H432"/>
      <c r="I432"/>
      <c r="J432"/>
      <c r="K432" s="5"/>
      <c r="L432"/>
      <c r="M432"/>
      <c r="N432"/>
      <c r="O432"/>
      <c r="P432"/>
      <c r="Q432"/>
      <c r="R432"/>
    </row>
    <row r="433" spans="1:18" s="4" customFormat="1" x14ac:dyDescent="0.3">
      <c r="A433" s="5"/>
      <c r="B433"/>
      <c r="C433"/>
      <c r="D433"/>
      <c r="E433"/>
      <c r="F433"/>
      <c r="G433"/>
      <c r="H433"/>
      <c r="I433"/>
      <c r="J433"/>
      <c r="K433" s="5"/>
      <c r="L433"/>
      <c r="M433"/>
      <c r="N433"/>
      <c r="O433"/>
      <c r="P433"/>
      <c r="Q433"/>
      <c r="R433"/>
    </row>
    <row r="434" spans="1:18" s="4" customFormat="1" x14ac:dyDescent="0.3">
      <c r="A434" s="5"/>
      <c r="B434"/>
      <c r="C434"/>
      <c r="D434"/>
      <c r="E434"/>
      <c r="F434"/>
      <c r="G434"/>
      <c r="H434"/>
      <c r="I434"/>
      <c r="J434"/>
      <c r="K434" s="5"/>
      <c r="L434"/>
      <c r="M434"/>
      <c r="N434"/>
      <c r="O434"/>
      <c r="P434"/>
      <c r="Q434"/>
      <c r="R434"/>
    </row>
    <row r="435" spans="1:18" s="4" customFormat="1" x14ac:dyDescent="0.3">
      <c r="A435" s="5"/>
      <c r="B435"/>
      <c r="C435"/>
      <c r="D435"/>
      <c r="E435"/>
      <c r="F435"/>
      <c r="G435"/>
      <c r="H435"/>
      <c r="I435"/>
      <c r="J435"/>
      <c r="K435" s="5"/>
      <c r="L435"/>
      <c r="M435"/>
      <c r="N435"/>
      <c r="O435"/>
      <c r="P435"/>
      <c r="Q435"/>
      <c r="R435"/>
    </row>
    <row r="436" spans="1:18" s="4" customFormat="1" x14ac:dyDescent="0.3">
      <c r="A436" s="5"/>
      <c r="B436"/>
      <c r="C436"/>
      <c r="D436"/>
      <c r="E436"/>
      <c r="F436"/>
      <c r="G436"/>
      <c r="H436"/>
      <c r="I436"/>
      <c r="J436"/>
      <c r="K436" s="5"/>
      <c r="L436"/>
      <c r="M436"/>
      <c r="N436"/>
      <c r="O436"/>
      <c r="P436"/>
      <c r="Q436"/>
      <c r="R436"/>
    </row>
    <row r="437" spans="1:18" s="4" customFormat="1" x14ac:dyDescent="0.3">
      <c r="A437" s="5"/>
      <c r="B437"/>
      <c r="C437"/>
      <c r="D437"/>
      <c r="E437"/>
      <c r="F437"/>
      <c r="G437"/>
      <c r="H437"/>
      <c r="I437"/>
      <c r="J437"/>
      <c r="K437" s="5"/>
      <c r="L437"/>
      <c r="M437"/>
      <c r="N437"/>
      <c r="O437"/>
      <c r="P437"/>
      <c r="Q437"/>
      <c r="R437"/>
    </row>
    <row r="438" spans="1:18" s="4" customFormat="1" x14ac:dyDescent="0.3">
      <c r="A438" s="5"/>
      <c r="B438"/>
      <c r="C438"/>
      <c r="D438"/>
      <c r="E438"/>
      <c r="F438"/>
      <c r="G438"/>
      <c r="H438"/>
      <c r="I438"/>
      <c r="J438"/>
      <c r="K438" s="5"/>
      <c r="L438"/>
      <c r="M438"/>
      <c r="N438"/>
      <c r="O438"/>
      <c r="P438"/>
      <c r="Q438"/>
      <c r="R438"/>
    </row>
    <row r="439" spans="1:18" s="4" customFormat="1" x14ac:dyDescent="0.3">
      <c r="A439" s="5"/>
      <c r="B439"/>
      <c r="C439"/>
      <c r="D439"/>
      <c r="E439"/>
      <c r="F439"/>
      <c r="G439"/>
      <c r="H439"/>
      <c r="I439"/>
      <c r="J439"/>
      <c r="K439" s="5"/>
      <c r="L439"/>
      <c r="M439"/>
      <c r="N439"/>
      <c r="O439"/>
      <c r="P439"/>
      <c r="Q439"/>
      <c r="R439"/>
    </row>
    <row r="440" spans="1:18" s="4" customFormat="1" x14ac:dyDescent="0.3">
      <c r="A440" s="5"/>
      <c r="B440"/>
      <c r="C440"/>
      <c r="D440"/>
      <c r="E440"/>
      <c r="F440"/>
      <c r="G440"/>
      <c r="H440"/>
      <c r="I440"/>
      <c r="J440"/>
      <c r="K440" s="5"/>
      <c r="L440"/>
      <c r="M440"/>
      <c r="N440"/>
      <c r="O440"/>
      <c r="P440"/>
      <c r="Q440"/>
      <c r="R440"/>
    </row>
    <row r="441" spans="1:18" s="4" customFormat="1" x14ac:dyDescent="0.3">
      <c r="A441" s="5"/>
      <c r="B441"/>
      <c r="C441"/>
      <c r="D441"/>
      <c r="E441"/>
      <c r="F441"/>
      <c r="G441"/>
      <c r="H441"/>
      <c r="I441"/>
      <c r="J441"/>
      <c r="K441" s="5"/>
      <c r="L441"/>
      <c r="M441"/>
      <c r="N441"/>
      <c r="O441"/>
      <c r="P441"/>
      <c r="Q441"/>
      <c r="R441"/>
    </row>
    <row r="442" spans="1:18" s="4" customFormat="1" x14ac:dyDescent="0.3">
      <c r="A442" s="5"/>
      <c r="B442"/>
      <c r="C442"/>
      <c r="D442"/>
      <c r="E442"/>
      <c r="F442"/>
      <c r="G442"/>
      <c r="H442"/>
      <c r="I442"/>
      <c r="J442"/>
      <c r="K442" s="5"/>
      <c r="L442"/>
      <c r="M442"/>
      <c r="N442"/>
      <c r="O442"/>
      <c r="P442"/>
      <c r="Q442"/>
      <c r="R442"/>
    </row>
    <row r="443" spans="1:18" s="4" customFormat="1" x14ac:dyDescent="0.3">
      <c r="A443" s="5"/>
      <c r="B443"/>
      <c r="C443"/>
      <c r="D443"/>
      <c r="E443"/>
      <c r="F443"/>
      <c r="G443"/>
      <c r="H443"/>
      <c r="I443"/>
      <c r="J443"/>
      <c r="K443" s="5"/>
      <c r="L443"/>
      <c r="M443"/>
      <c r="N443"/>
      <c r="O443"/>
      <c r="P443"/>
      <c r="Q443"/>
      <c r="R443"/>
    </row>
    <row r="444" spans="1:18" s="4" customFormat="1" x14ac:dyDescent="0.3">
      <c r="A444" s="5"/>
      <c r="B444"/>
      <c r="C444"/>
      <c r="D444"/>
      <c r="E444"/>
      <c r="F444"/>
      <c r="G444"/>
      <c r="H444"/>
      <c r="I444"/>
      <c r="J444"/>
      <c r="K444" s="5"/>
      <c r="L444"/>
      <c r="M444"/>
      <c r="N444"/>
      <c r="O444"/>
      <c r="P444"/>
      <c r="Q444"/>
      <c r="R444"/>
    </row>
    <row r="445" spans="1:18" s="4" customFormat="1" x14ac:dyDescent="0.3">
      <c r="A445" s="5"/>
      <c r="B445"/>
      <c r="C445"/>
      <c r="D445"/>
      <c r="E445"/>
      <c r="F445"/>
      <c r="G445"/>
      <c r="H445"/>
      <c r="I445"/>
      <c r="J445"/>
      <c r="K445" s="5"/>
      <c r="L445"/>
      <c r="M445"/>
      <c r="N445"/>
      <c r="O445"/>
      <c r="P445"/>
      <c r="Q445"/>
      <c r="R445"/>
    </row>
    <row r="446" spans="1:18" s="4" customFormat="1" x14ac:dyDescent="0.3">
      <c r="A446" s="5"/>
      <c r="B446"/>
      <c r="C446"/>
      <c r="D446"/>
      <c r="E446"/>
      <c r="F446"/>
      <c r="G446"/>
      <c r="H446"/>
      <c r="I446"/>
      <c r="J446"/>
      <c r="K446" s="5"/>
      <c r="L446"/>
      <c r="M446"/>
      <c r="N446"/>
      <c r="O446"/>
      <c r="P446"/>
      <c r="Q446"/>
      <c r="R446"/>
    </row>
    <row r="447" spans="1:18" s="4" customFormat="1" x14ac:dyDescent="0.3">
      <c r="A447" s="5"/>
      <c r="B447"/>
      <c r="C447"/>
      <c r="D447"/>
      <c r="E447"/>
      <c r="F447"/>
      <c r="G447"/>
      <c r="H447"/>
      <c r="I447"/>
      <c r="J447"/>
      <c r="K447" s="5"/>
      <c r="L447"/>
      <c r="M447"/>
      <c r="N447"/>
      <c r="O447"/>
      <c r="P447"/>
      <c r="Q447"/>
      <c r="R447"/>
    </row>
    <row r="448" spans="1:18" s="4" customFormat="1" x14ac:dyDescent="0.3">
      <c r="A448" s="5"/>
      <c r="B448"/>
      <c r="C448"/>
      <c r="D448"/>
      <c r="E448"/>
      <c r="F448"/>
      <c r="G448"/>
      <c r="H448"/>
      <c r="I448"/>
      <c r="J448"/>
      <c r="K448" s="5"/>
      <c r="L448"/>
      <c r="M448"/>
      <c r="N448"/>
      <c r="O448"/>
      <c r="P448"/>
      <c r="Q448"/>
      <c r="R448"/>
    </row>
    <row r="449" spans="1:18" s="4" customFormat="1" x14ac:dyDescent="0.3">
      <c r="A449" s="5"/>
      <c r="B449"/>
      <c r="C449"/>
      <c r="D449"/>
      <c r="E449"/>
      <c r="F449"/>
      <c r="G449"/>
      <c r="H449"/>
      <c r="I449"/>
      <c r="J449"/>
      <c r="K449" s="5"/>
      <c r="L449"/>
      <c r="M449"/>
      <c r="N449"/>
      <c r="O449"/>
      <c r="P449"/>
      <c r="Q449"/>
      <c r="R449"/>
    </row>
    <row r="450" spans="1:18" s="4" customFormat="1" x14ac:dyDescent="0.3">
      <c r="A450" s="5"/>
      <c r="B450"/>
      <c r="C450"/>
      <c r="D450"/>
      <c r="E450"/>
      <c r="F450"/>
      <c r="G450"/>
      <c r="H450"/>
      <c r="I450"/>
      <c r="J450"/>
      <c r="K450" s="5"/>
      <c r="L450"/>
      <c r="M450"/>
      <c r="N450"/>
      <c r="O450"/>
      <c r="P450"/>
      <c r="Q450"/>
      <c r="R450"/>
    </row>
    <row r="451" spans="1:18" s="4" customFormat="1" x14ac:dyDescent="0.3">
      <c r="A451" s="5"/>
      <c r="B451"/>
      <c r="C451"/>
      <c r="D451"/>
      <c r="E451"/>
      <c r="F451"/>
      <c r="G451"/>
      <c r="H451"/>
      <c r="I451"/>
      <c r="J451"/>
      <c r="K451" s="5"/>
      <c r="L451"/>
      <c r="M451"/>
      <c r="N451"/>
      <c r="O451"/>
      <c r="P451"/>
      <c r="Q451"/>
      <c r="R451"/>
    </row>
    <row r="452" spans="1:18" s="4" customFormat="1" x14ac:dyDescent="0.3">
      <c r="A452" s="5"/>
      <c r="B452"/>
      <c r="C452"/>
      <c r="D452"/>
      <c r="E452"/>
      <c r="F452"/>
      <c r="G452"/>
      <c r="H452"/>
      <c r="I452"/>
      <c r="J452"/>
      <c r="K452" s="5"/>
      <c r="L452"/>
      <c r="M452"/>
      <c r="N452"/>
      <c r="O452"/>
      <c r="P452"/>
      <c r="Q452"/>
      <c r="R452"/>
    </row>
    <row r="453" spans="1:18" s="4" customFormat="1" x14ac:dyDescent="0.3">
      <c r="A453" s="5"/>
      <c r="B453"/>
      <c r="C453"/>
      <c r="D453"/>
      <c r="E453"/>
      <c r="F453"/>
      <c r="G453"/>
      <c r="H453"/>
      <c r="I453"/>
      <c r="J453"/>
      <c r="K453" s="5"/>
      <c r="L453"/>
      <c r="M453"/>
      <c r="N453"/>
      <c r="O453"/>
      <c r="P453"/>
      <c r="Q453"/>
      <c r="R453"/>
    </row>
    <row r="454" spans="1:18" s="4" customFormat="1" x14ac:dyDescent="0.3">
      <c r="A454" s="5"/>
      <c r="B454"/>
      <c r="C454"/>
      <c r="D454"/>
      <c r="E454"/>
      <c r="F454"/>
      <c r="G454"/>
      <c r="H454"/>
      <c r="I454"/>
      <c r="J454"/>
      <c r="K454" s="5"/>
      <c r="L454"/>
      <c r="M454"/>
      <c r="N454"/>
      <c r="O454"/>
      <c r="P454"/>
      <c r="Q454"/>
      <c r="R454"/>
    </row>
    <row r="455" spans="1:18" s="4" customFormat="1" x14ac:dyDescent="0.3">
      <c r="A455" s="5"/>
      <c r="B455"/>
      <c r="C455"/>
      <c r="D455"/>
      <c r="E455"/>
      <c r="F455"/>
      <c r="G455"/>
      <c r="H455"/>
      <c r="I455"/>
      <c r="J455"/>
      <c r="K455" s="5"/>
      <c r="L455"/>
      <c r="M455"/>
      <c r="N455"/>
      <c r="O455"/>
      <c r="P455"/>
      <c r="Q455"/>
      <c r="R455"/>
    </row>
    <row r="456" spans="1:18" s="4" customFormat="1" x14ac:dyDescent="0.3">
      <c r="A456" s="5"/>
      <c r="B456"/>
      <c r="C456"/>
      <c r="D456"/>
      <c r="E456"/>
      <c r="F456"/>
      <c r="G456"/>
      <c r="H456"/>
      <c r="I456"/>
      <c r="J456"/>
      <c r="K456" s="5"/>
      <c r="L456"/>
      <c r="M456"/>
      <c r="N456"/>
      <c r="O456"/>
      <c r="P456"/>
      <c r="Q456"/>
      <c r="R456"/>
    </row>
    <row r="457" spans="1:18" s="4" customFormat="1" x14ac:dyDescent="0.3">
      <c r="A457" s="5"/>
      <c r="B457"/>
      <c r="C457"/>
      <c r="D457"/>
      <c r="E457"/>
      <c r="F457"/>
      <c r="G457"/>
      <c r="H457"/>
      <c r="I457"/>
      <c r="J457"/>
      <c r="K457" s="5"/>
      <c r="L457"/>
      <c r="M457"/>
      <c r="N457"/>
      <c r="O457"/>
      <c r="P457"/>
      <c r="Q457"/>
      <c r="R457"/>
    </row>
    <row r="458" spans="1:18" s="4" customFormat="1" x14ac:dyDescent="0.3">
      <c r="A458" s="5"/>
      <c r="B458"/>
      <c r="C458"/>
      <c r="D458"/>
      <c r="E458"/>
      <c r="F458"/>
      <c r="G458"/>
      <c r="H458"/>
      <c r="I458"/>
      <c r="J458"/>
      <c r="K458" s="5"/>
      <c r="L458"/>
      <c r="M458"/>
      <c r="N458"/>
      <c r="O458"/>
      <c r="P458"/>
      <c r="Q458"/>
      <c r="R458"/>
    </row>
    <row r="459" spans="1:18" s="4" customFormat="1" x14ac:dyDescent="0.3">
      <c r="A459" s="5"/>
      <c r="B459"/>
      <c r="C459"/>
      <c r="D459"/>
      <c r="E459"/>
      <c r="F459"/>
      <c r="G459"/>
      <c r="H459"/>
      <c r="I459"/>
      <c r="J459"/>
      <c r="K459" s="5"/>
      <c r="L459"/>
      <c r="M459"/>
      <c r="N459"/>
      <c r="O459"/>
      <c r="P459"/>
      <c r="Q459"/>
      <c r="R459"/>
    </row>
    <row r="460" spans="1:18" s="4" customFormat="1" x14ac:dyDescent="0.3">
      <c r="A460" s="5"/>
      <c r="B460"/>
      <c r="C460"/>
      <c r="D460"/>
      <c r="E460"/>
      <c r="F460"/>
      <c r="G460"/>
      <c r="H460"/>
      <c r="I460"/>
      <c r="J460"/>
      <c r="K460" s="5"/>
      <c r="L460"/>
      <c r="M460"/>
      <c r="N460"/>
      <c r="O460"/>
      <c r="P460"/>
      <c r="Q460"/>
      <c r="R460"/>
    </row>
    <row r="461" spans="1:18" s="4" customFormat="1" x14ac:dyDescent="0.3">
      <c r="A461" s="5"/>
      <c r="B461"/>
      <c r="C461"/>
      <c r="D461"/>
      <c r="E461"/>
      <c r="F461"/>
      <c r="G461"/>
      <c r="H461"/>
      <c r="I461"/>
      <c r="J461"/>
      <c r="K461" s="5"/>
      <c r="L461"/>
      <c r="M461"/>
      <c r="N461"/>
      <c r="O461"/>
      <c r="P461"/>
      <c r="Q461"/>
      <c r="R461"/>
    </row>
    <row r="462" spans="1:18" s="4" customFormat="1" x14ac:dyDescent="0.3">
      <c r="A462" s="5"/>
      <c r="B462"/>
      <c r="C462"/>
      <c r="D462"/>
      <c r="E462"/>
      <c r="F462"/>
      <c r="G462"/>
      <c r="H462"/>
      <c r="I462"/>
      <c r="J462"/>
      <c r="K462" s="5"/>
      <c r="L462"/>
      <c r="M462"/>
      <c r="N462"/>
      <c r="O462"/>
      <c r="P462"/>
      <c r="Q462"/>
      <c r="R462"/>
    </row>
    <row r="463" spans="1:18" s="4" customFormat="1" x14ac:dyDescent="0.3">
      <c r="A463" s="5"/>
      <c r="B463"/>
      <c r="C463"/>
      <c r="D463"/>
      <c r="E463"/>
      <c r="F463"/>
      <c r="G463"/>
      <c r="H463"/>
      <c r="I463"/>
      <c r="J463"/>
      <c r="K463" s="5"/>
      <c r="L463"/>
      <c r="M463"/>
      <c r="N463"/>
      <c r="O463"/>
      <c r="P463"/>
      <c r="Q463"/>
      <c r="R463"/>
    </row>
    <row r="464" spans="1:18" s="4" customFormat="1" x14ac:dyDescent="0.3">
      <c r="A464" s="5"/>
      <c r="B464"/>
      <c r="C464"/>
      <c r="D464"/>
      <c r="E464"/>
      <c r="F464"/>
      <c r="G464"/>
      <c r="H464"/>
      <c r="I464"/>
      <c r="J464"/>
      <c r="K464" s="5"/>
      <c r="L464"/>
      <c r="M464"/>
      <c r="N464"/>
      <c r="O464"/>
      <c r="P464"/>
      <c r="Q464"/>
      <c r="R464"/>
    </row>
    <row r="465" spans="1:18" s="4" customFormat="1" x14ac:dyDescent="0.3">
      <c r="A465" s="5"/>
      <c r="B465"/>
      <c r="C465"/>
      <c r="D465"/>
      <c r="E465"/>
      <c r="F465"/>
      <c r="G465"/>
      <c r="H465"/>
      <c r="I465"/>
      <c r="J465"/>
      <c r="K465" s="5"/>
      <c r="L465"/>
      <c r="M465"/>
      <c r="N465"/>
      <c r="O465"/>
      <c r="P465"/>
      <c r="Q465"/>
      <c r="R465"/>
    </row>
    <row r="466" spans="1:18" s="4" customFormat="1" x14ac:dyDescent="0.3">
      <c r="A466" s="5"/>
      <c r="B466"/>
      <c r="C466"/>
      <c r="D466"/>
      <c r="E466"/>
      <c r="F466"/>
      <c r="G466"/>
      <c r="H466"/>
      <c r="I466"/>
      <c r="J466"/>
      <c r="K466" s="5"/>
      <c r="L466"/>
      <c r="M466"/>
      <c r="N466"/>
      <c r="O466"/>
      <c r="P466"/>
      <c r="Q466"/>
      <c r="R466"/>
    </row>
    <row r="467" spans="1:18" s="4" customFormat="1" x14ac:dyDescent="0.3">
      <c r="A467" s="5"/>
      <c r="B467"/>
      <c r="C467"/>
      <c r="D467"/>
      <c r="E467"/>
      <c r="F467"/>
      <c r="G467"/>
      <c r="H467"/>
      <c r="I467"/>
      <c r="J467"/>
      <c r="K467" s="5"/>
      <c r="L467"/>
      <c r="M467"/>
      <c r="N467"/>
      <c r="O467"/>
      <c r="P467"/>
      <c r="Q467"/>
      <c r="R467"/>
    </row>
    <row r="468" spans="1:18" s="4" customFormat="1" x14ac:dyDescent="0.3">
      <c r="A468" s="5"/>
      <c r="B468"/>
      <c r="C468"/>
      <c r="D468"/>
      <c r="E468"/>
      <c r="F468"/>
      <c r="G468"/>
      <c r="H468"/>
      <c r="I468"/>
      <c r="J468"/>
      <c r="K468" s="5"/>
      <c r="L468"/>
      <c r="M468"/>
      <c r="N468"/>
      <c r="O468"/>
      <c r="P468"/>
      <c r="Q468"/>
      <c r="R468"/>
    </row>
    <row r="469" spans="1:18" s="4" customFormat="1" x14ac:dyDescent="0.3">
      <c r="A469" s="5"/>
      <c r="B469"/>
      <c r="C469"/>
      <c r="D469"/>
      <c r="E469"/>
      <c r="F469"/>
      <c r="G469"/>
      <c r="H469"/>
      <c r="I469"/>
      <c r="J469"/>
      <c r="K469" s="5"/>
      <c r="L469"/>
      <c r="M469"/>
      <c r="N469"/>
      <c r="O469"/>
      <c r="P469"/>
      <c r="Q469"/>
      <c r="R469"/>
    </row>
    <row r="470" spans="1:18" s="4" customFormat="1" x14ac:dyDescent="0.3">
      <c r="A470" s="5"/>
      <c r="B470"/>
      <c r="C470"/>
      <c r="D470"/>
      <c r="E470"/>
      <c r="F470"/>
      <c r="G470"/>
      <c r="H470"/>
      <c r="I470"/>
      <c r="J470"/>
      <c r="K470" s="5"/>
      <c r="L470"/>
      <c r="M470"/>
      <c r="N470"/>
      <c r="O470"/>
      <c r="P470"/>
      <c r="Q470"/>
      <c r="R470"/>
    </row>
    <row r="471" spans="1:18" s="4" customFormat="1" x14ac:dyDescent="0.3">
      <c r="A471" s="5"/>
      <c r="B471"/>
      <c r="C471"/>
      <c r="D471"/>
      <c r="E471"/>
      <c r="F471"/>
      <c r="G471"/>
      <c r="H471"/>
      <c r="I471"/>
      <c r="J471"/>
      <c r="K471" s="5"/>
      <c r="L471"/>
      <c r="M471"/>
      <c r="N471"/>
      <c r="O471"/>
      <c r="P471"/>
      <c r="Q471"/>
      <c r="R471"/>
    </row>
    <row r="472" spans="1:18" s="4" customFormat="1" x14ac:dyDescent="0.3">
      <c r="A472" s="5"/>
      <c r="B472"/>
      <c r="C472"/>
      <c r="D472"/>
      <c r="E472"/>
      <c r="F472"/>
      <c r="G472"/>
      <c r="H472"/>
      <c r="I472"/>
      <c r="J472"/>
      <c r="K472" s="5"/>
      <c r="L472"/>
      <c r="M472"/>
      <c r="N472"/>
      <c r="O472"/>
      <c r="P472"/>
      <c r="Q472"/>
      <c r="R472"/>
    </row>
    <row r="473" spans="1:18" s="4" customFormat="1" x14ac:dyDescent="0.3">
      <c r="A473" s="5"/>
      <c r="B473"/>
      <c r="C473"/>
      <c r="D473"/>
      <c r="E473"/>
      <c r="F473"/>
      <c r="G473"/>
      <c r="H473"/>
      <c r="I473"/>
      <c r="J473"/>
      <c r="K473" s="5"/>
      <c r="L473"/>
      <c r="M473"/>
      <c r="N473"/>
      <c r="O473"/>
      <c r="P473"/>
      <c r="Q473"/>
      <c r="R473"/>
    </row>
    <row r="474" spans="1:18" s="4" customFormat="1" x14ac:dyDescent="0.3">
      <c r="A474" s="5"/>
      <c r="B474"/>
      <c r="C474"/>
      <c r="D474"/>
      <c r="E474"/>
      <c r="F474"/>
      <c r="G474"/>
      <c r="H474"/>
      <c r="I474"/>
      <c r="J474"/>
      <c r="K474" s="5"/>
      <c r="L474"/>
      <c r="M474"/>
      <c r="N474"/>
      <c r="O474"/>
      <c r="P474"/>
      <c r="Q474"/>
      <c r="R474"/>
    </row>
    <row r="475" spans="1:18" s="4" customFormat="1" x14ac:dyDescent="0.3">
      <c r="A475" s="5"/>
      <c r="B475"/>
      <c r="C475"/>
      <c r="D475"/>
      <c r="E475"/>
      <c r="F475"/>
      <c r="G475"/>
      <c r="H475"/>
      <c r="I475"/>
      <c r="J475"/>
      <c r="K475" s="5"/>
      <c r="L475"/>
      <c r="M475"/>
      <c r="N475"/>
      <c r="O475"/>
      <c r="P475"/>
      <c r="Q475"/>
      <c r="R475"/>
    </row>
    <row r="476" spans="1:18" s="4" customFormat="1" x14ac:dyDescent="0.3">
      <c r="A476" s="5"/>
      <c r="B476"/>
      <c r="C476"/>
      <c r="D476"/>
      <c r="E476"/>
      <c r="F476"/>
      <c r="G476"/>
      <c r="H476"/>
      <c r="I476"/>
      <c r="J476"/>
      <c r="K476" s="5"/>
      <c r="L476"/>
      <c r="M476"/>
      <c r="N476"/>
      <c r="O476"/>
      <c r="P476"/>
      <c r="Q476"/>
      <c r="R476"/>
    </row>
    <row r="477" spans="1:18" s="4" customFormat="1" x14ac:dyDescent="0.3">
      <c r="A477" s="5"/>
      <c r="B477"/>
      <c r="C477"/>
      <c r="D477"/>
      <c r="E477"/>
      <c r="F477"/>
      <c r="G477"/>
      <c r="H477"/>
      <c r="I477"/>
      <c r="J477"/>
      <c r="K477" s="5"/>
      <c r="L477"/>
      <c r="M477"/>
      <c r="N477"/>
      <c r="O477"/>
      <c r="P477"/>
      <c r="Q477"/>
      <c r="R477"/>
    </row>
    <row r="478" spans="1:18" s="4" customFormat="1" x14ac:dyDescent="0.3">
      <c r="A478" s="5"/>
      <c r="B478"/>
      <c r="C478"/>
      <c r="D478"/>
      <c r="E478"/>
      <c r="F478"/>
      <c r="G478"/>
      <c r="H478"/>
      <c r="I478"/>
      <c r="J478"/>
      <c r="K478" s="5"/>
      <c r="L478"/>
      <c r="M478"/>
      <c r="N478"/>
      <c r="O478"/>
      <c r="P478"/>
      <c r="Q478"/>
      <c r="R478"/>
    </row>
    <row r="479" spans="1:18" s="4" customFormat="1" x14ac:dyDescent="0.3">
      <c r="A479" s="5"/>
      <c r="B479"/>
      <c r="C479"/>
      <c r="D479"/>
      <c r="E479"/>
      <c r="F479"/>
      <c r="G479"/>
      <c r="H479"/>
      <c r="I479"/>
      <c r="J479"/>
      <c r="K479" s="5"/>
      <c r="L479"/>
      <c r="M479"/>
      <c r="N479"/>
      <c r="O479"/>
      <c r="P479"/>
      <c r="Q479"/>
      <c r="R479"/>
    </row>
    <row r="480" spans="1:18" s="4" customFormat="1" x14ac:dyDescent="0.3">
      <c r="A480" s="5"/>
      <c r="B480"/>
      <c r="C480"/>
      <c r="D480"/>
      <c r="E480"/>
      <c r="F480"/>
      <c r="G480"/>
      <c r="H480"/>
      <c r="I480"/>
      <c r="J480"/>
      <c r="K480" s="5"/>
      <c r="L480"/>
      <c r="M480"/>
      <c r="N480"/>
      <c r="O480"/>
      <c r="P480"/>
      <c r="Q480"/>
      <c r="R480"/>
    </row>
    <row r="481" spans="1:18" s="4" customFormat="1" x14ac:dyDescent="0.3">
      <c r="A481" s="5"/>
      <c r="B481"/>
      <c r="C481"/>
      <c r="D481"/>
      <c r="E481"/>
      <c r="F481"/>
      <c r="G481"/>
      <c r="H481"/>
      <c r="I481"/>
      <c r="J481"/>
      <c r="K481" s="5"/>
      <c r="L481"/>
      <c r="M481"/>
      <c r="N481"/>
      <c r="O481"/>
      <c r="P481"/>
      <c r="Q481"/>
      <c r="R481"/>
    </row>
    <row r="482" spans="1:18" s="4" customFormat="1" x14ac:dyDescent="0.3">
      <c r="A482" s="5"/>
      <c r="B482"/>
      <c r="C482"/>
      <c r="D482"/>
      <c r="E482"/>
      <c r="F482"/>
      <c r="G482"/>
      <c r="H482"/>
      <c r="I482"/>
      <c r="J482"/>
      <c r="K482" s="5"/>
      <c r="L482"/>
      <c r="M482"/>
      <c r="N482"/>
      <c r="O482"/>
      <c r="P482"/>
      <c r="Q482"/>
      <c r="R482"/>
    </row>
    <row r="483" spans="1:18" s="4" customFormat="1" x14ac:dyDescent="0.3">
      <c r="A483" s="5"/>
      <c r="B483"/>
      <c r="C483"/>
      <c r="D483"/>
      <c r="E483"/>
      <c r="F483"/>
      <c r="G483"/>
      <c r="H483"/>
      <c r="I483"/>
      <c r="J483"/>
      <c r="K483" s="5"/>
      <c r="L483"/>
      <c r="M483"/>
      <c r="N483"/>
      <c r="O483"/>
      <c r="P483"/>
      <c r="Q483"/>
      <c r="R483"/>
    </row>
    <row r="484" spans="1:18" s="4" customFormat="1" x14ac:dyDescent="0.3">
      <c r="A484" s="5"/>
      <c r="B484"/>
      <c r="C484"/>
      <c r="D484"/>
      <c r="E484"/>
      <c r="F484"/>
      <c r="G484"/>
      <c r="H484"/>
      <c r="I484"/>
      <c r="J484"/>
      <c r="K484" s="5"/>
      <c r="L484"/>
      <c r="M484"/>
      <c r="N484"/>
      <c r="O484"/>
      <c r="P484"/>
      <c r="Q484"/>
      <c r="R484"/>
    </row>
    <row r="485" spans="1:18" s="4" customFormat="1" x14ac:dyDescent="0.3">
      <c r="A485" s="5"/>
      <c r="B485"/>
      <c r="C485"/>
      <c r="D485"/>
      <c r="E485"/>
      <c r="F485"/>
      <c r="G485"/>
      <c r="H485"/>
      <c r="I485"/>
      <c r="J485"/>
      <c r="K485" s="5"/>
      <c r="L485"/>
      <c r="M485"/>
      <c r="N485"/>
      <c r="O485"/>
      <c r="P485"/>
      <c r="Q485"/>
      <c r="R485"/>
    </row>
    <row r="486" spans="1:18" s="4" customFormat="1" x14ac:dyDescent="0.3">
      <c r="A486" s="5"/>
      <c r="B486"/>
      <c r="C486"/>
      <c r="D486"/>
      <c r="E486"/>
      <c r="F486"/>
      <c r="G486"/>
      <c r="H486"/>
      <c r="I486"/>
      <c r="J486"/>
      <c r="K486" s="5"/>
      <c r="L486"/>
      <c r="M486"/>
      <c r="N486"/>
      <c r="O486"/>
      <c r="P486"/>
      <c r="Q486"/>
      <c r="R486"/>
    </row>
    <row r="487" spans="1:18" s="4" customFormat="1" x14ac:dyDescent="0.3">
      <c r="A487" s="5"/>
      <c r="B487"/>
      <c r="C487"/>
      <c r="D487"/>
      <c r="E487"/>
      <c r="F487"/>
      <c r="G487"/>
      <c r="H487"/>
      <c r="I487"/>
      <c r="J487"/>
      <c r="K487" s="5"/>
      <c r="L487"/>
      <c r="M487"/>
      <c r="N487"/>
      <c r="O487"/>
      <c r="P487"/>
      <c r="Q487"/>
      <c r="R487"/>
    </row>
    <row r="488" spans="1:18" s="4" customFormat="1" x14ac:dyDescent="0.3">
      <c r="A488" s="5"/>
      <c r="B488"/>
      <c r="C488"/>
      <c r="D488"/>
      <c r="E488"/>
      <c r="F488"/>
      <c r="G488"/>
      <c r="H488"/>
      <c r="I488"/>
      <c r="J488"/>
      <c r="K488" s="5"/>
      <c r="L488"/>
      <c r="M488"/>
      <c r="N488"/>
      <c r="O488"/>
      <c r="P488"/>
      <c r="Q488"/>
      <c r="R488"/>
    </row>
    <row r="489" spans="1:18" s="4" customFormat="1" x14ac:dyDescent="0.3">
      <c r="A489" s="5"/>
      <c r="B489"/>
      <c r="C489"/>
      <c r="D489"/>
      <c r="E489"/>
      <c r="F489"/>
      <c r="G489"/>
      <c r="H489"/>
      <c r="I489"/>
      <c r="J489"/>
      <c r="K489" s="5"/>
      <c r="L489"/>
      <c r="M489"/>
      <c r="N489"/>
      <c r="O489"/>
      <c r="P489"/>
      <c r="Q489"/>
      <c r="R489"/>
    </row>
    <row r="490" spans="1:18" s="4" customFormat="1" x14ac:dyDescent="0.3">
      <c r="A490" s="5"/>
      <c r="B490"/>
      <c r="C490"/>
      <c r="D490"/>
      <c r="E490"/>
      <c r="F490"/>
      <c r="G490"/>
      <c r="H490"/>
      <c r="I490"/>
      <c r="J490"/>
      <c r="K490" s="5"/>
      <c r="L490"/>
      <c r="M490"/>
      <c r="N490"/>
      <c r="O490"/>
      <c r="P490"/>
      <c r="Q490"/>
      <c r="R490"/>
    </row>
    <row r="491" spans="1:18" s="4" customFormat="1" x14ac:dyDescent="0.3">
      <c r="A491" s="5"/>
      <c r="B491"/>
      <c r="C491"/>
      <c r="D491"/>
      <c r="E491"/>
      <c r="F491"/>
      <c r="G491"/>
      <c r="H491"/>
      <c r="I491"/>
      <c r="J491"/>
      <c r="K491" s="5"/>
      <c r="L491"/>
      <c r="M491"/>
      <c r="N491"/>
      <c r="O491"/>
      <c r="P491"/>
      <c r="Q491"/>
      <c r="R491"/>
    </row>
    <row r="492" spans="1:18" s="4" customFormat="1" x14ac:dyDescent="0.3">
      <c r="A492" s="5"/>
      <c r="B492"/>
      <c r="C492"/>
      <c r="D492"/>
      <c r="E492"/>
      <c r="F492"/>
      <c r="G492"/>
      <c r="H492"/>
      <c r="I492"/>
      <c r="J492"/>
      <c r="K492" s="5"/>
      <c r="L492"/>
      <c r="M492"/>
      <c r="N492"/>
      <c r="O492"/>
      <c r="P492"/>
      <c r="Q492"/>
      <c r="R492"/>
    </row>
    <row r="493" spans="1:18" s="4" customFormat="1" x14ac:dyDescent="0.3">
      <c r="A493" s="5"/>
      <c r="B493"/>
      <c r="C493"/>
      <c r="D493"/>
      <c r="E493"/>
      <c r="F493"/>
      <c r="G493"/>
      <c r="H493"/>
      <c r="I493"/>
      <c r="J493"/>
      <c r="K493" s="5"/>
      <c r="L493"/>
      <c r="M493"/>
      <c r="N493"/>
      <c r="O493"/>
      <c r="P493"/>
      <c r="Q493"/>
      <c r="R493"/>
    </row>
    <row r="494" spans="1:18" s="4" customFormat="1" x14ac:dyDescent="0.3">
      <c r="A494" s="5"/>
      <c r="B494"/>
      <c r="C494"/>
      <c r="D494"/>
      <c r="E494"/>
      <c r="F494"/>
      <c r="G494"/>
      <c r="H494"/>
      <c r="I494"/>
      <c r="J494"/>
      <c r="K494" s="5"/>
      <c r="L494"/>
      <c r="M494"/>
      <c r="N494"/>
      <c r="O494"/>
      <c r="P494"/>
      <c r="Q494"/>
      <c r="R494"/>
    </row>
    <row r="495" spans="1:18" s="4" customFormat="1" x14ac:dyDescent="0.3">
      <c r="A495" s="5"/>
      <c r="B495"/>
      <c r="C495"/>
      <c r="D495"/>
      <c r="E495"/>
      <c r="F495"/>
      <c r="G495"/>
      <c r="H495"/>
      <c r="I495"/>
      <c r="J495"/>
      <c r="K495" s="5"/>
      <c r="L495"/>
      <c r="M495"/>
      <c r="N495"/>
      <c r="O495"/>
      <c r="P495"/>
      <c r="Q495"/>
      <c r="R495"/>
    </row>
    <row r="496" spans="1:18" s="4" customFormat="1" x14ac:dyDescent="0.3">
      <c r="A496" s="5"/>
      <c r="B496"/>
      <c r="C496"/>
      <c r="D496"/>
      <c r="E496"/>
      <c r="F496"/>
      <c r="G496"/>
      <c r="H496"/>
      <c r="I496"/>
      <c r="J496"/>
      <c r="K496" s="5"/>
      <c r="L496"/>
      <c r="M496"/>
      <c r="N496"/>
      <c r="O496"/>
      <c r="P496"/>
      <c r="Q496"/>
      <c r="R496"/>
    </row>
    <row r="497" spans="1:18" s="4" customFormat="1" x14ac:dyDescent="0.3">
      <c r="A497" s="5"/>
      <c r="B497"/>
      <c r="C497"/>
      <c r="D497"/>
      <c r="E497"/>
      <c r="F497"/>
      <c r="G497"/>
      <c r="H497"/>
      <c r="I497"/>
      <c r="J497"/>
      <c r="K497" s="5"/>
      <c r="L497"/>
      <c r="M497"/>
      <c r="N497"/>
      <c r="O497"/>
      <c r="P497"/>
      <c r="Q497"/>
      <c r="R497"/>
    </row>
    <row r="498" spans="1:18" s="4" customFormat="1" x14ac:dyDescent="0.3">
      <c r="A498" s="5"/>
      <c r="B498"/>
      <c r="C498"/>
      <c r="D498"/>
      <c r="E498"/>
      <c r="F498"/>
      <c r="G498"/>
      <c r="H498"/>
      <c r="I498"/>
      <c r="J498"/>
      <c r="K498" s="5"/>
      <c r="L498"/>
      <c r="M498"/>
      <c r="N498"/>
      <c r="O498"/>
      <c r="P498"/>
      <c r="Q498"/>
      <c r="R498"/>
    </row>
    <row r="499" spans="1:18" s="4" customFormat="1" x14ac:dyDescent="0.3">
      <c r="A499" s="5"/>
      <c r="B499"/>
      <c r="C499"/>
      <c r="D499"/>
      <c r="E499"/>
      <c r="F499"/>
      <c r="G499"/>
      <c r="H499"/>
      <c r="I499"/>
      <c r="J499"/>
      <c r="K499" s="5"/>
      <c r="L499"/>
      <c r="M499"/>
      <c r="N499"/>
      <c r="O499"/>
      <c r="P499"/>
      <c r="Q499"/>
      <c r="R499"/>
    </row>
    <row r="500" spans="1:18" s="4" customFormat="1" x14ac:dyDescent="0.3">
      <c r="A500" s="5"/>
      <c r="B500"/>
      <c r="C500"/>
      <c r="D500"/>
      <c r="E500"/>
      <c r="F500"/>
      <c r="G500"/>
      <c r="H500"/>
      <c r="I500"/>
      <c r="J500"/>
      <c r="K500" s="5"/>
      <c r="L500"/>
      <c r="M500"/>
      <c r="N500"/>
      <c r="O500"/>
      <c r="P500"/>
      <c r="Q500"/>
      <c r="R500"/>
    </row>
    <row r="501" spans="1:18" s="4" customFormat="1" x14ac:dyDescent="0.3">
      <c r="A501" s="5"/>
      <c r="B501"/>
      <c r="C501"/>
      <c r="D501"/>
      <c r="E501"/>
      <c r="F501"/>
      <c r="G501"/>
      <c r="H501"/>
      <c r="I501"/>
      <c r="J501"/>
      <c r="K501" s="5"/>
      <c r="L501"/>
      <c r="M501"/>
      <c r="N501"/>
      <c r="O501"/>
      <c r="P501"/>
      <c r="Q501"/>
      <c r="R501"/>
    </row>
    <row r="502" spans="1:18" s="4" customFormat="1" x14ac:dyDescent="0.3">
      <c r="A502" s="5"/>
      <c r="B502"/>
      <c r="C502"/>
      <c r="D502"/>
      <c r="E502"/>
      <c r="F502"/>
      <c r="G502"/>
      <c r="H502"/>
      <c r="I502"/>
      <c r="J502"/>
      <c r="K502" s="5"/>
      <c r="L502"/>
      <c r="M502"/>
      <c r="N502"/>
      <c r="O502"/>
      <c r="P502"/>
      <c r="Q502"/>
      <c r="R502"/>
    </row>
    <row r="503" spans="1:18" s="4" customFormat="1" x14ac:dyDescent="0.3">
      <c r="A503" s="5"/>
      <c r="B503"/>
      <c r="C503"/>
      <c r="D503"/>
      <c r="E503"/>
      <c r="F503"/>
      <c r="G503"/>
      <c r="H503"/>
      <c r="I503"/>
      <c r="J503"/>
      <c r="K503" s="5"/>
      <c r="L503"/>
      <c r="M503"/>
      <c r="N503"/>
      <c r="O503"/>
      <c r="P503"/>
      <c r="Q503"/>
      <c r="R503"/>
    </row>
    <row r="504" spans="1:18" s="4" customFormat="1" x14ac:dyDescent="0.3">
      <c r="A504" s="5"/>
      <c r="B504"/>
      <c r="C504"/>
      <c r="D504"/>
      <c r="E504"/>
      <c r="F504"/>
      <c r="G504"/>
      <c r="H504"/>
      <c r="I504"/>
      <c r="J504"/>
      <c r="K504" s="5"/>
      <c r="L504"/>
      <c r="M504"/>
      <c r="N504"/>
      <c r="O504"/>
      <c r="P504"/>
      <c r="Q504"/>
      <c r="R504"/>
    </row>
    <row r="505" spans="1:18" s="4" customFormat="1" x14ac:dyDescent="0.3">
      <c r="A505" s="5"/>
      <c r="B505"/>
      <c r="C505"/>
      <c r="D505"/>
      <c r="E505"/>
      <c r="F505"/>
      <c r="G505"/>
      <c r="H505"/>
      <c r="I505"/>
      <c r="J505"/>
      <c r="K505" s="5"/>
      <c r="L505"/>
      <c r="M505"/>
      <c r="N505"/>
      <c r="O505"/>
      <c r="P505"/>
      <c r="Q505"/>
      <c r="R505"/>
    </row>
    <row r="506" spans="1:18" s="4" customFormat="1" x14ac:dyDescent="0.3">
      <c r="A506" s="5"/>
      <c r="B506"/>
      <c r="C506"/>
      <c r="D506"/>
      <c r="E506"/>
      <c r="F506"/>
      <c r="G506"/>
      <c r="H506"/>
      <c r="I506"/>
      <c r="J506"/>
      <c r="K506" s="5"/>
      <c r="L506"/>
      <c r="M506"/>
      <c r="N506"/>
      <c r="O506"/>
      <c r="P506"/>
      <c r="Q506"/>
      <c r="R506"/>
    </row>
    <row r="507" spans="1:18" s="4" customFormat="1" x14ac:dyDescent="0.3">
      <c r="A507" s="5"/>
      <c r="B507"/>
      <c r="C507"/>
      <c r="D507"/>
      <c r="E507"/>
      <c r="F507"/>
      <c r="G507"/>
      <c r="H507"/>
      <c r="I507"/>
      <c r="J507"/>
      <c r="K507" s="5"/>
      <c r="L507"/>
      <c r="M507"/>
      <c r="N507"/>
      <c r="O507"/>
      <c r="P507"/>
      <c r="Q507"/>
      <c r="R507"/>
    </row>
    <row r="508" spans="1:18" s="4" customFormat="1" x14ac:dyDescent="0.3">
      <c r="A508" s="5"/>
      <c r="B508"/>
      <c r="C508"/>
      <c r="D508"/>
      <c r="E508"/>
      <c r="F508"/>
      <c r="G508"/>
      <c r="H508"/>
      <c r="I508"/>
      <c r="J508"/>
      <c r="K508" s="5"/>
      <c r="L508"/>
      <c r="M508"/>
      <c r="N508"/>
      <c r="O508"/>
      <c r="P508"/>
      <c r="Q508"/>
      <c r="R508"/>
    </row>
    <row r="509" spans="1:18" s="4" customFormat="1" x14ac:dyDescent="0.3">
      <c r="A509" s="5"/>
      <c r="B509"/>
      <c r="C509"/>
      <c r="D509"/>
      <c r="E509"/>
      <c r="F509"/>
      <c r="G509"/>
      <c r="H509"/>
      <c r="I509"/>
      <c r="J509"/>
      <c r="K509" s="5"/>
      <c r="L509"/>
      <c r="M509"/>
      <c r="N509"/>
      <c r="O509"/>
      <c r="P509"/>
      <c r="Q509"/>
      <c r="R509"/>
    </row>
    <row r="510" spans="1:18" s="4" customFormat="1" x14ac:dyDescent="0.3">
      <c r="A510" s="5"/>
      <c r="B510"/>
      <c r="C510"/>
      <c r="D510"/>
      <c r="E510"/>
      <c r="F510"/>
      <c r="G510"/>
      <c r="H510"/>
      <c r="I510"/>
      <c r="J510"/>
      <c r="K510" s="5"/>
      <c r="L510"/>
      <c r="M510"/>
      <c r="N510"/>
      <c r="O510"/>
      <c r="P510"/>
      <c r="Q510"/>
      <c r="R510"/>
    </row>
    <row r="511" spans="1:18" s="4" customFormat="1" x14ac:dyDescent="0.3">
      <c r="A511" s="5"/>
      <c r="B511"/>
      <c r="C511"/>
      <c r="D511"/>
      <c r="E511"/>
      <c r="F511"/>
      <c r="G511"/>
      <c r="H511"/>
      <c r="I511"/>
      <c r="J511"/>
      <c r="K511" s="5"/>
      <c r="L511"/>
      <c r="M511"/>
      <c r="N511"/>
      <c r="O511"/>
      <c r="P511"/>
      <c r="Q511"/>
      <c r="R511"/>
    </row>
    <row r="512" spans="1:18" s="4" customFormat="1" x14ac:dyDescent="0.3">
      <c r="A512" s="5"/>
      <c r="B512"/>
      <c r="C512"/>
      <c r="D512"/>
      <c r="E512"/>
      <c r="F512"/>
      <c r="G512"/>
      <c r="H512"/>
      <c r="I512"/>
      <c r="J512"/>
      <c r="K512" s="5"/>
      <c r="L512"/>
      <c r="M512"/>
      <c r="N512"/>
      <c r="O512"/>
      <c r="P512"/>
      <c r="Q512"/>
      <c r="R512"/>
    </row>
    <row r="513" spans="1:18" s="4" customFormat="1" x14ac:dyDescent="0.3">
      <c r="A513" s="5"/>
      <c r="B513"/>
      <c r="C513"/>
      <c r="D513"/>
      <c r="E513"/>
      <c r="F513"/>
      <c r="G513"/>
      <c r="H513"/>
      <c r="I513"/>
      <c r="J513"/>
      <c r="K513" s="5"/>
      <c r="L513"/>
      <c r="M513"/>
      <c r="N513"/>
      <c r="O513"/>
      <c r="P513"/>
      <c r="Q513"/>
      <c r="R513"/>
    </row>
    <row r="514" spans="1:18" s="4" customFormat="1" x14ac:dyDescent="0.3">
      <c r="A514" s="5"/>
      <c r="B514"/>
      <c r="C514"/>
      <c r="D514"/>
      <c r="E514"/>
      <c r="F514"/>
      <c r="G514"/>
      <c r="H514"/>
      <c r="I514"/>
      <c r="J514"/>
      <c r="K514" s="5"/>
      <c r="L514"/>
      <c r="M514"/>
      <c r="N514"/>
      <c r="O514"/>
      <c r="P514"/>
      <c r="Q514"/>
      <c r="R514"/>
    </row>
    <row r="515" spans="1:18" s="4" customFormat="1" x14ac:dyDescent="0.3">
      <c r="A515" s="5"/>
      <c r="B515"/>
      <c r="C515"/>
      <c r="D515"/>
      <c r="E515"/>
      <c r="F515"/>
      <c r="G515"/>
      <c r="H515"/>
      <c r="I515"/>
      <c r="J515"/>
      <c r="K515" s="5"/>
      <c r="L515"/>
      <c r="M515"/>
      <c r="N515"/>
      <c r="O515"/>
      <c r="P515"/>
      <c r="Q515"/>
      <c r="R515"/>
    </row>
    <row r="516" spans="1:18" s="4" customFormat="1" x14ac:dyDescent="0.3">
      <c r="A516" s="5"/>
      <c r="B516"/>
      <c r="C516"/>
      <c r="D516"/>
      <c r="E516"/>
      <c r="F516"/>
      <c r="G516"/>
      <c r="H516"/>
      <c r="I516"/>
      <c r="J516"/>
      <c r="K516" s="5"/>
      <c r="L516"/>
      <c r="M516"/>
      <c r="N516"/>
      <c r="O516"/>
      <c r="P516"/>
      <c r="Q516"/>
      <c r="R516"/>
    </row>
    <row r="517" spans="1:18" s="4" customFormat="1" x14ac:dyDescent="0.3">
      <c r="A517" s="5"/>
      <c r="B517"/>
      <c r="C517"/>
      <c r="D517"/>
      <c r="E517"/>
      <c r="F517"/>
      <c r="G517"/>
      <c r="H517"/>
      <c r="I517"/>
      <c r="J517"/>
      <c r="K517" s="5"/>
      <c r="L517"/>
      <c r="M517"/>
      <c r="N517"/>
      <c r="O517"/>
      <c r="P517"/>
      <c r="Q517"/>
      <c r="R517"/>
    </row>
    <row r="518" spans="1:18" s="4" customFormat="1" x14ac:dyDescent="0.3">
      <c r="A518" s="5"/>
      <c r="B518"/>
      <c r="C518"/>
      <c r="D518"/>
      <c r="E518"/>
      <c r="F518"/>
      <c r="G518"/>
      <c r="H518"/>
      <c r="I518"/>
      <c r="J518"/>
      <c r="K518" s="5"/>
      <c r="L518"/>
      <c r="M518"/>
      <c r="N518"/>
      <c r="O518"/>
      <c r="P518"/>
      <c r="Q518"/>
      <c r="R518"/>
    </row>
    <row r="519" spans="1:18" s="4" customFormat="1" x14ac:dyDescent="0.3">
      <c r="A519" s="5"/>
      <c r="B519"/>
      <c r="C519"/>
      <c r="D519"/>
      <c r="E519"/>
      <c r="F519"/>
      <c r="G519"/>
      <c r="H519"/>
      <c r="I519"/>
      <c r="J519"/>
      <c r="K519" s="5"/>
      <c r="L519"/>
      <c r="M519"/>
      <c r="N519"/>
      <c r="O519"/>
      <c r="P519"/>
      <c r="Q519"/>
      <c r="R519"/>
    </row>
    <row r="520" spans="1:18" s="4" customFormat="1" x14ac:dyDescent="0.3">
      <c r="A520" s="5"/>
      <c r="B520"/>
      <c r="C520"/>
      <c r="D520"/>
      <c r="E520"/>
      <c r="F520"/>
      <c r="G520"/>
      <c r="H520"/>
      <c r="I520"/>
      <c r="J520"/>
      <c r="K520" s="5"/>
      <c r="L520"/>
      <c r="M520"/>
      <c r="N520"/>
      <c r="O520"/>
      <c r="P520"/>
      <c r="Q520"/>
      <c r="R520"/>
    </row>
    <row r="521" spans="1:18" s="4" customFormat="1" x14ac:dyDescent="0.3">
      <c r="A521" s="5"/>
      <c r="B521"/>
      <c r="C521"/>
      <c r="D521"/>
      <c r="E521"/>
      <c r="F521"/>
      <c r="G521"/>
      <c r="H521"/>
      <c r="I521"/>
      <c r="J521"/>
      <c r="K521" s="5"/>
      <c r="L521"/>
      <c r="M521"/>
      <c r="N521"/>
      <c r="O521"/>
      <c r="P521"/>
      <c r="Q521"/>
      <c r="R521"/>
    </row>
    <row r="522" spans="1:18" s="4" customFormat="1" x14ac:dyDescent="0.3">
      <c r="A522" s="5"/>
      <c r="B522"/>
      <c r="C522"/>
      <c r="D522"/>
      <c r="E522"/>
      <c r="F522"/>
      <c r="G522"/>
      <c r="H522"/>
      <c r="I522"/>
      <c r="J522"/>
      <c r="K522" s="5"/>
      <c r="L522"/>
      <c r="M522"/>
      <c r="N522"/>
      <c r="O522"/>
      <c r="P522"/>
      <c r="Q522"/>
      <c r="R522"/>
    </row>
    <row r="523" spans="1:18" s="4" customFormat="1" x14ac:dyDescent="0.3">
      <c r="A523" s="5"/>
      <c r="B523"/>
      <c r="C523"/>
      <c r="D523"/>
      <c r="E523"/>
      <c r="F523"/>
      <c r="G523"/>
      <c r="H523"/>
      <c r="I523"/>
      <c r="J523"/>
      <c r="K523" s="5"/>
      <c r="L523"/>
      <c r="M523"/>
      <c r="N523"/>
      <c r="O523"/>
      <c r="P523"/>
      <c r="Q523"/>
      <c r="R523"/>
    </row>
    <row r="524" spans="1:18" s="4" customFormat="1" x14ac:dyDescent="0.3">
      <c r="A524" s="5"/>
      <c r="B524"/>
      <c r="C524"/>
      <c r="D524"/>
      <c r="E524"/>
      <c r="F524"/>
      <c r="G524"/>
      <c r="H524"/>
      <c r="I524"/>
      <c r="J524"/>
      <c r="K524" s="5"/>
      <c r="L524"/>
      <c r="M524"/>
      <c r="N524"/>
      <c r="O524"/>
      <c r="P524"/>
      <c r="Q524"/>
      <c r="R524"/>
    </row>
    <row r="525" spans="1:18" s="4" customFormat="1" x14ac:dyDescent="0.3">
      <c r="A525" s="5"/>
      <c r="B525"/>
      <c r="C525"/>
      <c r="D525"/>
      <c r="E525"/>
      <c r="F525"/>
      <c r="G525"/>
      <c r="H525"/>
      <c r="I525"/>
      <c r="J525"/>
      <c r="K525" s="5"/>
      <c r="L525"/>
      <c r="M525"/>
      <c r="N525"/>
      <c r="O525"/>
      <c r="P525"/>
      <c r="Q525"/>
      <c r="R525"/>
    </row>
    <row r="526" spans="1:18" s="4" customFormat="1" x14ac:dyDescent="0.3">
      <c r="A526" s="5"/>
      <c r="B526"/>
      <c r="C526"/>
      <c r="D526"/>
      <c r="E526"/>
      <c r="F526"/>
      <c r="G526"/>
      <c r="H526"/>
      <c r="I526"/>
      <c r="J526"/>
      <c r="K526" s="5"/>
      <c r="L526"/>
      <c r="M526"/>
      <c r="N526"/>
      <c r="O526"/>
      <c r="P526"/>
      <c r="Q526"/>
      <c r="R526"/>
    </row>
    <row r="527" spans="1:18" s="4" customFormat="1" x14ac:dyDescent="0.3">
      <c r="A527" s="5"/>
      <c r="B527"/>
      <c r="C527"/>
      <c r="D527"/>
      <c r="E527"/>
      <c r="F527"/>
      <c r="G527"/>
      <c r="H527"/>
      <c r="I527"/>
      <c r="J527"/>
      <c r="K527" s="5"/>
      <c r="L527"/>
      <c r="M527"/>
      <c r="N527"/>
      <c r="O527"/>
      <c r="P527"/>
      <c r="Q527"/>
      <c r="R527"/>
    </row>
    <row r="528" spans="1:18" s="4" customFormat="1" x14ac:dyDescent="0.3">
      <c r="A528" s="5"/>
      <c r="B528"/>
      <c r="C528"/>
      <c r="D528"/>
      <c r="E528"/>
      <c r="F528"/>
      <c r="G528"/>
      <c r="H528"/>
      <c r="I528"/>
      <c r="J528"/>
      <c r="K528" s="5"/>
      <c r="L528"/>
      <c r="M528"/>
      <c r="N528"/>
      <c r="O528"/>
      <c r="P528"/>
      <c r="Q528"/>
      <c r="R528"/>
    </row>
    <row r="529" spans="1:18" s="4" customFormat="1" x14ac:dyDescent="0.3">
      <c r="A529" s="5"/>
      <c r="B529"/>
      <c r="C529"/>
      <c r="D529"/>
      <c r="E529"/>
      <c r="F529"/>
      <c r="G529"/>
      <c r="H529"/>
      <c r="I529"/>
      <c r="J529"/>
      <c r="K529" s="5"/>
      <c r="L529"/>
      <c r="M529"/>
      <c r="N529"/>
      <c r="O529"/>
      <c r="P529"/>
      <c r="Q529"/>
      <c r="R529"/>
    </row>
    <row r="530" spans="1:18" s="4" customFormat="1" x14ac:dyDescent="0.3">
      <c r="A530" s="5"/>
      <c r="B530"/>
      <c r="C530"/>
      <c r="D530"/>
      <c r="E530"/>
      <c r="F530"/>
      <c r="G530"/>
      <c r="H530"/>
      <c r="I530"/>
      <c r="J530"/>
      <c r="K530" s="5"/>
      <c r="L530"/>
      <c r="M530"/>
      <c r="N530"/>
      <c r="O530"/>
      <c r="P530"/>
      <c r="Q530"/>
      <c r="R530"/>
    </row>
    <row r="531" spans="1:18" s="4" customFormat="1" x14ac:dyDescent="0.3">
      <c r="A531" s="5"/>
      <c r="B531"/>
      <c r="C531"/>
      <c r="D531"/>
      <c r="E531"/>
      <c r="F531"/>
      <c r="G531"/>
      <c r="H531"/>
      <c r="I531"/>
      <c r="J531"/>
      <c r="K531" s="5"/>
      <c r="L531"/>
      <c r="M531"/>
      <c r="N531"/>
      <c r="O531"/>
      <c r="P531"/>
      <c r="Q531"/>
      <c r="R531"/>
    </row>
    <row r="532" spans="1:18" s="4" customFormat="1" x14ac:dyDescent="0.3">
      <c r="A532" s="5"/>
      <c r="B532"/>
      <c r="C532"/>
      <c r="D532"/>
      <c r="E532"/>
      <c r="F532"/>
      <c r="G532"/>
      <c r="H532"/>
      <c r="I532"/>
      <c r="J532"/>
      <c r="K532" s="5"/>
      <c r="L532"/>
      <c r="M532"/>
      <c r="N532"/>
      <c r="O532"/>
      <c r="P532"/>
      <c r="Q532"/>
      <c r="R532"/>
    </row>
    <row r="533" spans="1:18" s="4" customFormat="1" x14ac:dyDescent="0.3">
      <c r="A533" s="5"/>
      <c r="B533"/>
      <c r="C533"/>
      <c r="D533"/>
      <c r="E533"/>
      <c r="F533"/>
      <c r="G533"/>
      <c r="H533"/>
      <c r="I533"/>
      <c r="J533"/>
      <c r="K533" s="5"/>
      <c r="L533"/>
      <c r="M533"/>
      <c r="N533"/>
      <c r="O533"/>
      <c r="P533"/>
      <c r="Q533"/>
      <c r="R533"/>
    </row>
    <row r="534" spans="1:18" s="4" customFormat="1" x14ac:dyDescent="0.3">
      <c r="A534" s="5"/>
      <c r="B534"/>
      <c r="C534"/>
      <c r="D534"/>
      <c r="E534"/>
      <c r="F534"/>
      <c r="G534"/>
      <c r="H534"/>
      <c r="I534"/>
      <c r="J534"/>
      <c r="K534" s="5"/>
      <c r="L534"/>
      <c r="M534"/>
      <c r="N534"/>
      <c r="O534"/>
      <c r="P534"/>
      <c r="Q534"/>
      <c r="R534"/>
    </row>
    <row r="535" spans="1:18" s="4" customFormat="1" x14ac:dyDescent="0.3">
      <c r="A535" s="5"/>
      <c r="B535"/>
      <c r="C535"/>
      <c r="D535"/>
      <c r="E535"/>
      <c r="F535"/>
      <c r="G535"/>
      <c r="H535"/>
      <c r="I535"/>
      <c r="J535"/>
      <c r="K535" s="5"/>
      <c r="L535"/>
      <c r="M535"/>
      <c r="N535"/>
      <c r="O535"/>
      <c r="P535"/>
      <c r="Q535"/>
      <c r="R535"/>
    </row>
    <row r="536" spans="1:18" s="4" customFormat="1" x14ac:dyDescent="0.3">
      <c r="A536" s="5"/>
      <c r="B536"/>
      <c r="C536"/>
      <c r="D536"/>
      <c r="E536"/>
      <c r="F536"/>
      <c r="G536"/>
      <c r="H536"/>
      <c r="I536"/>
      <c r="J536"/>
      <c r="K536" s="5"/>
      <c r="L536"/>
      <c r="M536"/>
      <c r="N536"/>
      <c r="O536"/>
      <c r="P536"/>
      <c r="Q536"/>
      <c r="R536"/>
    </row>
    <row r="537" spans="1:18" s="4" customFormat="1" x14ac:dyDescent="0.3">
      <c r="A537" s="5"/>
      <c r="B537"/>
      <c r="C537"/>
      <c r="D537"/>
      <c r="E537"/>
      <c r="F537"/>
      <c r="G537"/>
      <c r="H537"/>
      <c r="I537"/>
      <c r="J537"/>
      <c r="K537" s="5"/>
      <c r="L537"/>
      <c r="M537"/>
      <c r="N537"/>
      <c r="O537"/>
      <c r="P537"/>
      <c r="Q537"/>
      <c r="R537"/>
    </row>
    <row r="538" spans="1:18" s="4" customFormat="1" x14ac:dyDescent="0.3">
      <c r="A538" s="5"/>
      <c r="B538"/>
      <c r="C538"/>
      <c r="D538"/>
      <c r="E538"/>
      <c r="F538"/>
      <c r="G538"/>
      <c r="H538"/>
      <c r="I538"/>
      <c r="J538"/>
      <c r="K538" s="5"/>
      <c r="L538"/>
      <c r="M538"/>
      <c r="N538"/>
      <c r="O538"/>
      <c r="P538"/>
      <c r="Q538"/>
      <c r="R538"/>
    </row>
    <row r="539" spans="1:18" s="4" customFormat="1" x14ac:dyDescent="0.3">
      <c r="A539" s="5"/>
      <c r="B539"/>
      <c r="C539"/>
      <c r="D539"/>
      <c r="E539"/>
      <c r="F539"/>
      <c r="G539"/>
      <c r="H539"/>
      <c r="I539"/>
      <c r="J539"/>
      <c r="K539" s="5"/>
      <c r="L539"/>
      <c r="M539"/>
      <c r="N539"/>
      <c r="O539"/>
      <c r="P539"/>
      <c r="Q539"/>
      <c r="R539"/>
    </row>
    <row r="540" spans="1:18" s="4" customFormat="1" x14ac:dyDescent="0.3">
      <c r="A540" s="5"/>
      <c r="B540"/>
      <c r="C540"/>
      <c r="D540"/>
      <c r="E540"/>
      <c r="F540"/>
      <c r="G540"/>
      <c r="H540"/>
      <c r="I540"/>
      <c r="J540"/>
      <c r="K540" s="5"/>
      <c r="L540"/>
      <c r="M540"/>
      <c r="N540"/>
      <c r="O540"/>
      <c r="P540"/>
      <c r="Q540"/>
      <c r="R540"/>
    </row>
    <row r="541" spans="1:18" s="4" customFormat="1" x14ac:dyDescent="0.3">
      <c r="A541" s="5"/>
      <c r="B541"/>
      <c r="C541"/>
      <c r="D541"/>
      <c r="E541"/>
      <c r="F541"/>
      <c r="G541"/>
      <c r="H541"/>
      <c r="I541"/>
      <c r="J541"/>
      <c r="K541" s="5"/>
      <c r="L541"/>
      <c r="M541"/>
      <c r="N541"/>
      <c r="O541"/>
      <c r="P541"/>
      <c r="Q541"/>
      <c r="R541"/>
    </row>
    <row r="542" spans="1:18" s="4" customFormat="1" x14ac:dyDescent="0.3">
      <c r="A542" s="5"/>
      <c r="B542"/>
      <c r="C542"/>
      <c r="D542"/>
      <c r="E542"/>
      <c r="F542"/>
      <c r="G542"/>
      <c r="H542"/>
      <c r="I542"/>
      <c r="J542"/>
      <c r="K542" s="5"/>
      <c r="L542"/>
      <c r="M542"/>
      <c r="N542"/>
      <c r="O542"/>
      <c r="P542"/>
      <c r="Q542"/>
      <c r="R542"/>
    </row>
    <row r="543" spans="1:18" s="4" customFormat="1" x14ac:dyDescent="0.3">
      <c r="A543" s="5"/>
      <c r="B543"/>
      <c r="C543"/>
      <c r="D543"/>
      <c r="E543"/>
      <c r="F543"/>
      <c r="G543"/>
      <c r="H543"/>
      <c r="I543"/>
      <c r="J543"/>
      <c r="K543" s="5"/>
      <c r="L543"/>
      <c r="M543"/>
      <c r="N543"/>
      <c r="O543"/>
      <c r="P543"/>
      <c r="Q543"/>
      <c r="R543"/>
    </row>
    <row r="544" spans="1:18" s="4" customFormat="1" x14ac:dyDescent="0.3">
      <c r="A544" s="5"/>
      <c r="B544"/>
      <c r="C544"/>
      <c r="D544"/>
      <c r="E544"/>
      <c r="F544"/>
      <c r="G544"/>
      <c r="H544"/>
      <c r="I544"/>
      <c r="J544"/>
      <c r="K544" s="5"/>
      <c r="L544"/>
      <c r="M544"/>
      <c r="N544"/>
      <c r="O544"/>
      <c r="P544"/>
      <c r="Q544"/>
      <c r="R544"/>
    </row>
    <row r="545" spans="1:18" s="4" customFormat="1" x14ac:dyDescent="0.3">
      <c r="A545" s="5"/>
      <c r="B545"/>
      <c r="C545"/>
      <c r="D545"/>
      <c r="E545"/>
      <c r="F545"/>
      <c r="G545"/>
      <c r="H545"/>
      <c r="I545"/>
      <c r="J545"/>
      <c r="K545" s="5"/>
      <c r="L545"/>
      <c r="M545"/>
      <c r="N545"/>
      <c r="O545"/>
      <c r="P545"/>
      <c r="Q545"/>
      <c r="R545"/>
    </row>
    <row r="546" spans="1:18" s="4" customFormat="1" x14ac:dyDescent="0.3">
      <c r="A546" s="5"/>
      <c r="B546"/>
      <c r="C546"/>
      <c r="D546"/>
      <c r="E546"/>
      <c r="F546"/>
      <c r="G546"/>
      <c r="H546"/>
      <c r="I546"/>
      <c r="J546"/>
      <c r="K546" s="5"/>
      <c r="L546"/>
      <c r="M546"/>
      <c r="N546"/>
      <c r="O546"/>
      <c r="P546"/>
      <c r="Q546"/>
      <c r="R546"/>
    </row>
    <row r="547" spans="1:18" s="4" customFormat="1" x14ac:dyDescent="0.3">
      <c r="A547" s="5"/>
      <c r="B547"/>
      <c r="C547"/>
      <c r="D547"/>
      <c r="E547"/>
      <c r="F547"/>
      <c r="G547"/>
      <c r="H547"/>
      <c r="I547"/>
      <c r="J547"/>
      <c r="K547" s="5"/>
      <c r="L547"/>
      <c r="M547"/>
      <c r="N547"/>
      <c r="O547"/>
      <c r="P547"/>
      <c r="Q547"/>
      <c r="R547"/>
    </row>
    <row r="548" spans="1:18" s="4" customFormat="1" x14ac:dyDescent="0.3">
      <c r="A548" s="5"/>
      <c r="B548"/>
      <c r="C548"/>
      <c r="D548"/>
      <c r="E548"/>
      <c r="F548"/>
      <c r="G548"/>
      <c r="H548"/>
      <c r="I548"/>
      <c r="J548"/>
      <c r="K548" s="5"/>
      <c r="L548"/>
      <c r="M548"/>
      <c r="N548"/>
      <c r="O548"/>
      <c r="P548"/>
      <c r="Q548"/>
      <c r="R548"/>
    </row>
    <row r="549" spans="1:18" s="4" customFormat="1" x14ac:dyDescent="0.3">
      <c r="A549" s="5"/>
      <c r="B549"/>
      <c r="C549"/>
      <c r="D549"/>
      <c r="E549"/>
      <c r="F549"/>
      <c r="G549"/>
      <c r="H549"/>
      <c r="I549"/>
      <c r="J549"/>
      <c r="K549" s="5"/>
      <c r="L549"/>
      <c r="M549"/>
      <c r="N549"/>
      <c r="O549"/>
      <c r="P549"/>
      <c r="Q549"/>
      <c r="R549"/>
    </row>
    <row r="550" spans="1:18" s="4" customFormat="1" x14ac:dyDescent="0.3">
      <c r="A550" s="5"/>
      <c r="B550"/>
      <c r="C550"/>
      <c r="D550"/>
      <c r="E550"/>
      <c r="F550"/>
      <c r="G550"/>
      <c r="H550"/>
      <c r="I550"/>
      <c r="J550"/>
      <c r="K550" s="5"/>
      <c r="L550"/>
      <c r="M550"/>
      <c r="N550"/>
      <c r="O550"/>
      <c r="P550"/>
      <c r="Q550"/>
      <c r="R550"/>
    </row>
    <row r="551" spans="1:18" s="4" customFormat="1" x14ac:dyDescent="0.3">
      <c r="A551" s="5"/>
      <c r="B551"/>
      <c r="C551"/>
      <c r="D551"/>
      <c r="E551"/>
      <c r="F551"/>
      <c r="G551"/>
      <c r="H551"/>
      <c r="I551"/>
      <c r="J551"/>
      <c r="K551" s="5"/>
      <c r="L551"/>
      <c r="M551"/>
      <c r="N551"/>
      <c r="O551"/>
      <c r="P551"/>
      <c r="Q551"/>
      <c r="R551"/>
    </row>
    <row r="552" spans="1:18" s="4" customFormat="1" x14ac:dyDescent="0.3">
      <c r="A552" s="5"/>
      <c r="B552"/>
      <c r="C552"/>
      <c r="D552"/>
      <c r="E552"/>
      <c r="F552"/>
      <c r="G552"/>
      <c r="H552"/>
      <c r="I552"/>
      <c r="J552"/>
      <c r="K552" s="5"/>
      <c r="L552"/>
      <c r="M552"/>
      <c r="N552"/>
      <c r="O552"/>
      <c r="P552"/>
      <c r="Q552"/>
      <c r="R552"/>
    </row>
    <row r="553" spans="1:18" s="4" customFormat="1" x14ac:dyDescent="0.3">
      <c r="A553" s="5"/>
      <c r="B553"/>
      <c r="C553"/>
      <c r="D553"/>
      <c r="E553"/>
      <c r="F553"/>
      <c r="G553"/>
      <c r="H553"/>
      <c r="I553"/>
      <c r="J553"/>
      <c r="K553" s="5"/>
      <c r="L553"/>
      <c r="M553"/>
      <c r="N553"/>
      <c r="O553"/>
      <c r="P553"/>
      <c r="Q553"/>
      <c r="R553"/>
    </row>
    <row r="554" spans="1:18" s="4" customFormat="1" x14ac:dyDescent="0.3">
      <c r="A554" s="5"/>
      <c r="B554"/>
      <c r="C554"/>
      <c r="D554"/>
      <c r="E554"/>
      <c r="F554"/>
      <c r="G554"/>
      <c r="H554"/>
      <c r="I554"/>
      <c r="J554"/>
      <c r="K554" s="5"/>
      <c r="L554"/>
      <c r="M554"/>
      <c r="N554"/>
      <c r="O554"/>
      <c r="P554"/>
      <c r="Q554"/>
      <c r="R554"/>
    </row>
    <row r="555" spans="1:18" s="4" customFormat="1" x14ac:dyDescent="0.3">
      <c r="A555" s="5"/>
      <c r="B555"/>
      <c r="C555"/>
      <c r="D555"/>
      <c r="E555"/>
      <c r="F555"/>
      <c r="G555"/>
      <c r="H555"/>
      <c r="I555"/>
      <c r="J555"/>
      <c r="K555" s="5"/>
      <c r="L555"/>
      <c r="M555"/>
      <c r="N555"/>
      <c r="O555"/>
      <c r="P555"/>
      <c r="Q555"/>
      <c r="R555"/>
    </row>
    <row r="556" spans="1:18" s="4" customFormat="1" x14ac:dyDescent="0.3">
      <c r="A556" s="5"/>
      <c r="B556"/>
      <c r="C556"/>
      <c r="D556"/>
      <c r="E556"/>
      <c r="F556"/>
      <c r="G556"/>
      <c r="H556"/>
      <c r="I556"/>
      <c r="J556"/>
      <c r="K556" s="5"/>
      <c r="L556"/>
      <c r="M556"/>
      <c r="N556"/>
      <c r="O556"/>
      <c r="P556"/>
      <c r="Q556"/>
      <c r="R556"/>
    </row>
    <row r="557" spans="1:18" s="4" customFormat="1" x14ac:dyDescent="0.3">
      <c r="A557" s="5"/>
      <c r="B557"/>
      <c r="C557"/>
      <c r="D557"/>
      <c r="E557"/>
      <c r="F557"/>
      <c r="G557"/>
      <c r="H557"/>
      <c r="I557"/>
      <c r="J557"/>
      <c r="K557" s="5"/>
      <c r="L557"/>
      <c r="M557"/>
      <c r="N557"/>
      <c r="O557"/>
      <c r="P557"/>
      <c r="Q557"/>
      <c r="R557"/>
    </row>
    <row r="558" spans="1:18" s="4" customFormat="1" x14ac:dyDescent="0.3">
      <c r="A558" s="5"/>
      <c r="B558"/>
      <c r="C558"/>
      <c r="D558"/>
      <c r="E558"/>
      <c r="F558"/>
      <c r="G558"/>
      <c r="H558"/>
      <c r="I558"/>
      <c r="J558"/>
      <c r="K558" s="5"/>
      <c r="L558"/>
      <c r="M558"/>
      <c r="N558"/>
      <c r="O558"/>
      <c r="P558"/>
      <c r="Q558"/>
      <c r="R558"/>
    </row>
    <row r="559" spans="1:18" s="4" customFormat="1" x14ac:dyDescent="0.3">
      <c r="A559" s="5"/>
      <c r="B559"/>
      <c r="C559"/>
      <c r="D559"/>
      <c r="E559"/>
      <c r="F559"/>
      <c r="G559"/>
      <c r="H559"/>
      <c r="I559"/>
      <c r="J559"/>
      <c r="K559" s="5"/>
      <c r="L559"/>
      <c r="M559"/>
      <c r="N559"/>
      <c r="O559"/>
      <c r="P559"/>
      <c r="Q559"/>
      <c r="R559"/>
    </row>
    <row r="560" spans="1:18" s="4" customFormat="1" x14ac:dyDescent="0.3">
      <c r="A560" s="5"/>
      <c r="B560"/>
      <c r="C560"/>
      <c r="D560"/>
      <c r="E560"/>
      <c r="F560"/>
      <c r="G560"/>
      <c r="H560"/>
      <c r="I560"/>
      <c r="J560"/>
      <c r="K560" s="5"/>
      <c r="L560"/>
      <c r="M560"/>
      <c r="N560"/>
      <c r="O560"/>
      <c r="P560"/>
      <c r="Q560"/>
      <c r="R560"/>
    </row>
    <row r="561" spans="1:18" s="4" customFormat="1" x14ac:dyDescent="0.3">
      <c r="A561" s="5"/>
      <c r="B561"/>
      <c r="C561"/>
      <c r="D561"/>
      <c r="E561"/>
      <c r="F561"/>
      <c r="G561"/>
      <c r="H561"/>
      <c r="I561"/>
      <c r="J561"/>
      <c r="K561" s="5"/>
      <c r="L561"/>
      <c r="M561"/>
      <c r="N561"/>
      <c r="O561"/>
      <c r="P561"/>
      <c r="Q561"/>
      <c r="R561"/>
    </row>
    <row r="562" spans="1:18" s="4" customFormat="1" x14ac:dyDescent="0.3">
      <c r="A562" s="5"/>
      <c r="B562"/>
      <c r="C562"/>
      <c r="D562"/>
      <c r="E562"/>
      <c r="F562"/>
      <c r="G562"/>
      <c r="H562"/>
      <c r="I562"/>
      <c r="J562"/>
      <c r="K562" s="5"/>
      <c r="L562"/>
      <c r="M562"/>
      <c r="N562"/>
      <c r="O562"/>
      <c r="P562"/>
      <c r="Q562"/>
      <c r="R562"/>
    </row>
    <row r="563" spans="1:18" s="4" customFormat="1" x14ac:dyDescent="0.3">
      <c r="A563" s="5"/>
      <c r="B563"/>
      <c r="C563"/>
      <c r="D563"/>
      <c r="E563"/>
      <c r="F563"/>
      <c r="G563"/>
      <c r="H563"/>
      <c r="I563"/>
      <c r="J563"/>
      <c r="K563" s="5"/>
      <c r="L563"/>
      <c r="M563"/>
      <c r="N563"/>
      <c r="O563"/>
      <c r="P563"/>
      <c r="Q563"/>
      <c r="R563"/>
    </row>
    <row r="564" spans="1:18" s="4" customFormat="1" x14ac:dyDescent="0.3">
      <c r="A564" s="5"/>
      <c r="B564"/>
      <c r="C564"/>
      <c r="D564"/>
      <c r="E564"/>
      <c r="F564"/>
      <c r="G564"/>
      <c r="H564"/>
      <c r="I564"/>
      <c r="J564"/>
      <c r="K564" s="5"/>
      <c r="L564"/>
      <c r="M564"/>
      <c r="N564"/>
      <c r="O564"/>
      <c r="P564"/>
      <c r="Q564"/>
      <c r="R564"/>
    </row>
    <row r="565" spans="1:18" s="4" customFormat="1" x14ac:dyDescent="0.3">
      <c r="A565" s="5"/>
      <c r="B565"/>
      <c r="C565"/>
      <c r="D565"/>
      <c r="E565"/>
      <c r="F565"/>
      <c r="G565"/>
      <c r="H565"/>
      <c r="I565"/>
      <c r="J565"/>
      <c r="K565" s="5"/>
      <c r="L565"/>
      <c r="M565"/>
      <c r="N565"/>
      <c r="O565"/>
      <c r="P565"/>
      <c r="Q565"/>
      <c r="R565"/>
    </row>
    <row r="566" spans="1:18" s="4" customFormat="1" x14ac:dyDescent="0.3">
      <c r="A566" s="5"/>
      <c r="B566"/>
      <c r="C566"/>
      <c r="D566"/>
      <c r="E566"/>
      <c r="F566"/>
      <c r="G566"/>
      <c r="H566"/>
      <c r="I566"/>
      <c r="J566"/>
      <c r="K566" s="5"/>
      <c r="L566"/>
      <c r="M566"/>
      <c r="N566"/>
      <c r="O566"/>
      <c r="P566"/>
      <c r="Q566"/>
      <c r="R566"/>
    </row>
    <row r="567" spans="1:18" s="4" customFormat="1" x14ac:dyDescent="0.3">
      <c r="A567" s="5"/>
      <c r="B567"/>
      <c r="C567"/>
      <c r="D567"/>
      <c r="E567"/>
      <c r="F567"/>
      <c r="G567"/>
      <c r="H567"/>
      <c r="I567"/>
      <c r="J567"/>
      <c r="K567" s="5"/>
      <c r="L567"/>
      <c r="M567"/>
      <c r="N567"/>
      <c r="O567"/>
      <c r="P567"/>
      <c r="Q567"/>
      <c r="R567"/>
    </row>
    <row r="568" spans="1:18" s="4" customFormat="1" x14ac:dyDescent="0.3">
      <c r="A568" s="5"/>
      <c r="B568"/>
      <c r="C568"/>
      <c r="D568"/>
      <c r="E568"/>
      <c r="F568"/>
      <c r="G568"/>
      <c r="H568"/>
      <c r="I568"/>
      <c r="J568"/>
      <c r="K568" s="5"/>
      <c r="L568"/>
      <c r="M568"/>
      <c r="N568"/>
      <c r="O568"/>
      <c r="P568"/>
      <c r="Q568"/>
      <c r="R568"/>
    </row>
    <row r="569" spans="1:18" s="4" customFormat="1" x14ac:dyDescent="0.3">
      <c r="A569" s="5"/>
      <c r="B569"/>
      <c r="C569"/>
      <c r="D569"/>
      <c r="E569"/>
      <c r="F569"/>
      <c r="G569"/>
      <c r="H569"/>
      <c r="I569"/>
      <c r="J569"/>
      <c r="K569" s="5"/>
      <c r="L569"/>
      <c r="M569"/>
      <c r="N569"/>
      <c r="O569"/>
      <c r="P569"/>
      <c r="Q569"/>
      <c r="R569"/>
    </row>
    <row r="570" spans="1:18" s="4" customFormat="1" x14ac:dyDescent="0.3">
      <c r="A570" s="5"/>
      <c r="B570"/>
      <c r="C570"/>
      <c r="D570"/>
      <c r="E570"/>
      <c r="F570"/>
      <c r="G570"/>
      <c r="H570"/>
      <c r="I570"/>
      <c r="J570"/>
      <c r="K570" s="5"/>
      <c r="L570"/>
      <c r="M570"/>
      <c r="N570"/>
      <c r="O570"/>
      <c r="P570"/>
      <c r="Q570"/>
      <c r="R570"/>
    </row>
    <row r="571" spans="1:18" s="4" customFormat="1" x14ac:dyDescent="0.3">
      <c r="A571" s="5"/>
      <c r="B571"/>
      <c r="C571"/>
      <c r="D571"/>
      <c r="E571"/>
      <c r="F571"/>
      <c r="G571"/>
      <c r="H571"/>
      <c r="I571"/>
      <c r="J571"/>
      <c r="K571" s="5"/>
      <c r="L571"/>
      <c r="M571"/>
      <c r="N571"/>
      <c r="O571"/>
      <c r="P571"/>
      <c r="Q571"/>
      <c r="R571"/>
    </row>
    <row r="572" spans="1:18" s="4" customFormat="1" x14ac:dyDescent="0.3">
      <c r="A572" s="5"/>
      <c r="B572"/>
      <c r="C572"/>
      <c r="D572"/>
      <c r="E572"/>
      <c r="F572"/>
      <c r="G572"/>
      <c r="H572"/>
      <c r="I572"/>
      <c r="J572"/>
      <c r="K572" s="5"/>
      <c r="L572"/>
      <c r="M572"/>
      <c r="N572"/>
      <c r="O572"/>
      <c r="P572"/>
      <c r="Q572"/>
      <c r="R572"/>
    </row>
    <row r="573" spans="1:18" s="4" customFormat="1" x14ac:dyDescent="0.3">
      <c r="A573" s="5"/>
      <c r="B573"/>
      <c r="C573"/>
      <c r="D573"/>
      <c r="E573"/>
      <c r="F573"/>
      <c r="G573"/>
      <c r="H573"/>
      <c r="I573"/>
      <c r="J573"/>
      <c r="K573" s="5"/>
      <c r="L573"/>
      <c r="M573"/>
      <c r="N573"/>
      <c r="O573"/>
      <c r="P573"/>
      <c r="Q573"/>
      <c r="R573"/>
    </row>
    <row r="574" spans="1:18" s="4" customFormat="1" x14ac:dyDescent="0.3">
      <c r="A574" s="5"/>
      <c r="B574"/>
      <c r="C574"/>
      <c r="D574"/>
      <c r="E574"/>
      <c r="F574"/>
      <c r="G574"/>
      <c r="H574"/>
      <c r="I574"/>
      <c r="J574"/>
      <c r="K574" s="5"/>
      <c r="L574"/>
      <c r="M574"/>
      <c r="N574"/>
      <c r="O574"/>
      <c r="P574"/>
      <c r="Q574"/>
      <c r="R574"/>
    </row>
    <row r="575" spans="1:18" s="4" customFormat="1" x14ac:dyDescent="0.3">
      <c r="A575" s="5"/>
      <c r="B575"/>
      <c r="C575"/>
      <c r="D575"/>
      <c r="E575"/>
      <c r="F575"/>
      <c r="G575"/>
      <c r="H575"/>
      <c r="I575"/>
      <c r="J575"/>
      <c r="K575" s="5"/>
      <c r="L575"/>
      <c r="M575"/>
      <c r="N575"/>
      <c r="O575"/>
      <c r="P575"/>
      <c r="Q575"/>
      <c r="R575"/>
    </row>
    <row r="576" spans="1:18" s="4" customFormat="1" x14ac:dyDescent="0.3">
      <c r="A576" s="5"/>
      <c r="B576"/>
      <c r="C576"/>
      <c r="D576"/>
      <c r="E576"/>
      <c r="F576"/>
      <c r="G576"/>
      <c r="H576"/>
      <c r="I576"/>
      <c r="J576"/>
      <c r="K576" s="5"/>
      <c r="L576"/>
      <c r="M576"/>
      <c r="N576"/>
      <c r="O576"/>
      <c r="P576"/>
      <c r="Q576"/>
      <c r="R576"/>
    </row>
    <row r="577" spans="1:18" s="4" customFormat="1" x14ac:dyDescent="0.3">
      <c r="A577" s="5"/>
      <c r="B577"/>
      <c r="C577"/>
      <c r="D577"/>
      <c r="E577"/>
      <c r="F577"/>
      <c r="G577"/>
      <c r="H577"/>
      <c r="I577"/>
      <c r="J577"/>
      <c r="K577" s="5"/>
      <c r="L577"/>
      <c r="M577"/>
      <c r="N577"/>
      <c r="O577"/>
      <c r="P577"/>
      <c r="Q577"/>
      <c r="R577"/>
    </row>
    <row r="578" spans="1:18" s="4" customFormat="1" x14ac:dyDescent="0.3">
      <c r="A578" s="5"/>
      <c r="B578"/>
      <c r="C578"/>
      <c r="D578"/>
      <c r="E578"/>
      <c r="F578"/>
      <c r="G578"/>
      <c r="H578"/>
      <c r="I578"/>
      <c r="J578"/>
      <c r="K578" s="5"/>
      <c r="L578"/>
      <c r="M578"/>
      <c r="N578"/>
      <c r="O578"/>
      <c r="P578"/>
      <c r="Q578"/>
      <c r="R578"/>
    </row>
    <row r="579" spans="1:18" s="4" customFormat="1" x14ac:dyDescent="0.3">
      <c r="A579" s="5"/>
      <c r="B579"/>
      <c r="C579"/>
      <c r="D579"/>
      <c r="E579"/>
      <c r="F579"/>
      <c r="G579"/>
      <c r="H579"/>
      <c r="I579"/>
      <c r="J579"/>
      <c r="K579" s="5"/>
      <c r="L579"/>
      <c r="M579"/>
      <c r="N579"/>
      <c r="O579"/>
      <c r="P579"/>
      <c r="Q579"/>
      <c r="R579"/>
    </row>
    <row r="580" spans="1:18" s="4" customFormat="1" x14ac:dyDescent="0.3">
      <c r="A580" s="5"/>
      <c r="B580"/>
      <c r="C580"/>
      <c r="D580"/>
      <c r="E580"/>
      <c r="F580"/>
      <c r="G580"/>
      <c r="H580"/>
      <c r="I580"/>
      <c r="J580"/>
      <c r="K580" s="5"/>
      <c r="L580"/>
      <c r="M580"/>
      <c r="N580"/>
      <c r="O580"/>
      <c r="P580"/>
      <c r="Q580"/>
      <c r="R580"/>
    </row>
    <row r="581" spans="1:18" s="4" customFormat="1" x14ac:dyDescent="0.3">
      <c r="A581" s="5"/>
      <c r="B581"/>
      <c r="C581"/>
      <c r="D581"/>
      <c r="E581"/>
      <c r="F581"/>
      <c r="G581"/>
      <c r="H581"/>
      <c r="I581"/>
      <c r="J581"/>
      <c r="K581" s="5"/>
      <c r="L581"/>
      <c r="M581"/>
      <c r="N581"/>
      <c r="O581"/>
      <c r="P581"/>
      <c r="Q581"/>
      <c r="R581"/>
    </row>
    <row r="582" spans="1:18" s="4" customFormat="1" x14ac:dyDescent="0.3">
      <c r="A582" s="5"/>
      <c r="B582"/>
      <c r="C582"/>
      <c r="D582"/>
      <c r="E582"/>
      <c r="F582"/>
      <c r="G582"/>
      <c r="H582"/>
      <c r="I582"/>
      <c r="J582"/>
      <c r="K582" s="5"/>
      <c r="L582"/>
      <c r="M582"/>
      <c r="N582"/>
      <c r="O582"/>
      <c r="P582"/>
      <c r="Q582"/>
      <c r="R582"/>
    </row>
    <row r="583" spans="1:18" s="4" customFormat="1" x14ac:dyDescent="0.3">
      <c r="A583" s="5"/>
      <c r="B583"/>
      <c r="C583"/>
      <c r="D583"/>
      <c r="E583"/>
      <c r="F583"/>
      <c r="G583"/>
      <c r="H583"/>
      <c r="I583"/>
      <c r="J583"/>
      <c r="K583" s="5"/>
      <c r="L583"/>
      <c r="M583"/>
      <c r="N583"/>
      <c r="O583"/>
      <c r="P583"/>
      <c r="Q583"/>
      <c r="R583"/>
    </row>
    <row r="584" spans="1:18" s="4" customFormat="1" x14ac:dyDescent="0.3">
      <c r="A584" s="5"/>
      <c r="B584"/>
      <c r="C584"/>
      <c r="D584"/>
      <c r="E584"/>
      <c r="F584"/>
      <c r="G584"/>
      <c r="H584"/>
      <c r="I584"/>
      <c r="J584"/>
      <c r="K584" s="5"/>
      <c r="L584"/>
      <c r="M584"/>
      <c r="N584"/>
      <c r="O584"/>
      <c r="P584"/>
      <c r="Q584"/>
      <c r="R584"/>
    </row>
    <row r="585" spans="1:18" s="4" customFormat="1" x14ac:dyDescent="0.3">
      <c r="A585" s="5"/>
      <c r="B585"/>
      <c r="C585"/>
      <c r="D585"/>
      <c r="E585"/>
      <c r="F585"/>
      <c r="G585"/>
      <c r="H585"/>
      <c r="I585"/>
      <c r="J585"/>
      <c r="K585" s="5"/>
      <c r="L585"/>
      <c r="M585"/>
      <c r="N585"/>
      <c r="O585"/>
      <c r="P585"/>
      <c r="Q585"/>
      <c r="R585"/>
    </row>
    <row r="586" spans="1:18" s="4" customFormat="1" x14ac:dyDescent="0.3">
      <c r="A586" s="5"/>
      <c r="B586"/>
      <c r="C586"/>
      <c r="D586"/>
      <c r="E586"/>
      <c r="F586"/>
      <c r="G586"/>
      <c r="H586"/>
      <c r="I586"/>
      <c r="J586"/>
      <c r="K586" s="5"/>
      <c r="L586"/>
      <c r="M586"/>
      <c r="N586"/>
      <c r="O586"/>
      <c r="P586"/>
      <c r="Q586"/>
      <c r="R586"/>
    </row>
    <row r="587" spans="1:18" s="4" customFormat="1" x14ac:dyDescent="0.3">
      <c r="A587" s="5"/>
      <c r="B587"/>
      <c r="C587"/>
      <c r="D587"/>
      <c r="E587"/>
      <c r="F587"/>
      <c r="G587"/>
      <c r="H587"/>
      <c r="I587"/>
      <c r="J587"/>
      <c r="K587" s="5"/>
      <c r="L587"/>
      <c r="M587"/>
      <c r="N587"/>
      <c r="O587"/>
      <c r="P587"/>
      <c r="Q587"/>
      <c r="R587"/>
    </row>
    <row r="588" spans="1:18" s="4" customFormat="1" x14ac:dyDescent="0.3">
      <c r="A588" s="5"/>
      <c r="B588"/>
      <c r="C588"/>
      <c r="D588"/>
      <c r="E588"/>
      <c r="F588"/>
      <c r="G588"/>
      <c r="H588"/>
      <c r="I588"/>
      <c r="J588"/>
      <c r="K588" s="5"/>
      <c r="L588"/>
      <c r="M588"/>
      <c r="N588"/>
      <c r="O588"/>
      <c r="P588"/>
      <c r="Q588"/>
      <c r="R588"/>
    </row>
    <row r="589" spans="1:18" s="4" customFormat="1" x14ac:dyDescent="0.3">
      <c r="A589" s="5"/>
      <c r="B589"/>
      <c r="C589"/>
      <c r="D589"/>
      <c r="E589"/>
      <c r="F589"/>
      <c r="G589"/>
      <c r="H589"/>
      <c r="I589"/>
      <c r="J589"/>
      <c r="K589" s="5"/>
      <c r="L589"/>
      <c r="M589"/>
      <c r="N589"/>
      <c r="O589"/>
      <c r="P589"/>
      <c r="Q589"/>
      <c r="R589"/>
    </row>
    <row r="590" spans="1:18" s="4" customFormat="1" x14ac:dyDescent="0.3">
      <c r="A590" s="5"/>
      <c r="B590"/>
      <c r="C590"/>
      <c r="D590"/>
      <c r="E590"/>
      <c r="F590"/>
      <c r="G590"/>
      <c r="H590"/>
      <c r="I590"/>
      <c r="J590"/>
      <c r="K590" s="5"/>
      <c r="L590"/>
      <c r="M590"/>
      <c r="N590"/>
      <c r="O590"/>
      <c r="P590"/>
      <c r="Q590"/>
      <c r="R590"/>
    </row>
    <row r="591" spans="1:18" s="4" customFormat="1" x14ac:dyDescent="0.3">
      <c r="A591" s="5"/>
      <c r="B591"/>
      <c r="C591"/>
      <c r="D591"/>
      <c r="E591"/>
      <c r="F591"/>
      <c r="G591"/>
      <c r="H591"/>
      <c r="I591"/>
      <c r="J591"/>
      <c r="K591" s="5"/>
      <c r="L591"/>
      <c r="M591"/>
      <c r="N591"/>
      <c r="O591"/>
      <c r="P591"/>
      <c r="Q591"/>
      <c r="R591"/>
    </row>
    <row r="592" spans="1:18" s="4" customFormat="1" x14ac:dyDescent="0.3">
      <c r="A592" s="5"/>
      <c r="B592"/>
      <c r="C592"/>
      <c r="D592"/>
      <c r="E592"/>
      <c r="F592"/>
      <c r="G592"/>
      <c r="H592"/>
      <c r="I592"/>
      <c r="J592"/>
      <c r="K592" s="5"/>
      <c r="L592"/>
      <c r="M592"/>
      <c r="N592"/>
      <c r="O592"/>
      <c r="P592"/>
      <c r="Q592"/>
      <c r="R592"/>
    </row>
    <row r="593" spans="1:18" s="4" customFormat="1" x14ac:dyDescent="0.3">
      <c r="A593" s="5"/>
      <c r="B593"/>
      <c r="C593"/>
      <c r="D593"/>
      <c r="E593"/>
      <c r="F593"/>
      <c r="G593"/>
      <c r="H593"/>
      <c r="I593"/>
      <c r="J593"/>
      <c r="K593" s="5"/>
      <c r="L593"/>
      <c r="M593"/>
      <c r="N593"/>
      <c r="O593"/>
      <c r="P593"/>
      <c r="Q593"/>
      <c r="R593"/>
    </row>
    <row r="594" spans="1:18" s="4" customFormat="1" x14ac:dyDescent="0.3">
      <c r="A594" s="5"/>
      <c r="B594"/>
      <c r="C594"/>
      <c r="D594"/>
      <c r="E594"/>
      <c r="F594"/>
      <c r="G594"/>
      <c r="H594"/>
      <c r="I594"/>
      <c r="J594"/>
      <c r="K594" s="5"/>
      <c r="L594"/>
      <c r="M594"/>
      <c r="N594"/>
      <c r="O594"/>
      <c r="P594"/>
      <c r="Q594"/>
      <c r="R594"/>
    </row>
    <row r="595" spans="1:18" s="4" customFormat="1" x14ac:dyDescent="0.3">
      <c r="A595" s="5"/>
      <c r="B595"/>
      <c r="C595"/>
      <c r="D595"/>
      <c r="E595"/>
      <c r="F595"/>
      <c r="G595"/>
      <c r="H595"/>
      <c r="I595"/>
      <c r="J595"/>
      <c r="K595" s="5"/>
      <c r="L595"/>
      <c r="M595"/>
      <c r="N595"/>
      <c r="O595"/>
      <c r="P595"/>
      <c r="Q595"/>
      <c r="R595"/>
    </row>
    <row r="596" spans="1:18" s="4" customFormat="1" x14ac:dyDescent="0.3">
      <c r="A596" s="5"/>
      <c r="B596"/>
      <c r="C596"/>
      <c r="D596"/>
      <c r="E596"/>
      <c r="F596"/>
      <c r="G596"/>
      <c r="H596"/>
      <c r="I596"/>
      <c r="J596"/>
      <c r="K596" s="5"/>
      <c r="L596"/>
      <c r="M596"/>
      <c r="N596"/>
      <c r="O596"/>
      <c r="P596"/>
      <c r="Q596"/>
      <c r="R596"/>
    </row>
    <row r="597" spans="1:18" s="4" customFormat="1" x14ac:dyDescent="0.3">
      <c r="A597" s="5"/>
      <c r="B597"/>
      <c r="C597"/>
      <c r="D597"/>
      <c r="E597"/>
      <c r="F597"/>
      <c r="G597"/>
      <c r="H597"/>
      <c r="I597"/>
      <c r="J597"/>
      <c r="K597" s="5"/>
      <c r="L597"/>
      <c r="M597"/>
      <c r="N597"/>
      <c r="O597"/>
      <c r="P597"/>
      <c r="Q597"/>
      <c r="R597"/>
    </row>
    <row r="598" spans="1:18" s="4" customFormat="1" x14ac:dyDescent="0.3">
      <c r="A598" s="5"/>
      <c r="B598"/>
      <c r="C598"/>
      <c r="D598"/>
      <c r="E598"/>
      <c r="F598"/>
      <c r="G598"/>
      <c r="H598"/>
      <c r="I598"/>
      <c r="J598"/>
      <c r="K598" s="5"/>
      <c r="L598"/>
      <c r="M598"/>
      <c r="N598"/>
      <c r="O598"/>
      <c r="P598"/>
      <c r="Q598"/>
      <c r="R598"/>
    </row>
    <row r="599" spans="1:18" s="4" customFormat="1" x14ac:dyDescent="0.3">
      <c r="A599" s="5"/>
      <c r="B599"/>
      <c r="C599"/>
      <c r="D599"/>
      <c r="E599"/>
      <c r="F599"/>
      <c r="G599"/>
      <c r="H599"/>
      <c r="I599"/>
      <c r="J599"/>
      <c r="K599" s="5"/>
      <c r="L599"/>
      <c r="M599"/>
      <c r="N599"/>
      <c r="O599"/>
      <c r="P599"/>
      <c r="Q599"/>
      <c r="R599"/>
    </row>
    <row r="600" spans="1:18" s="4" customFormat="1" x14ac:dyDescent="0.3">
      <c r="A600" s="5"/>
      <c r="B600"/>
      <c r="C600"/>
      <c r="D600"/>
      <c r="E600"/>
      <c r="F600"/>
      <c r="G600"/>
      <c r="H600"/>
      <c r="I600"/>
      <c r="J600"/>
      <c r="K600" s="5"/>
      <c r="L600"/>
      <c r="M600"/>
      <c r="N600"/>
      <c r="O600"/>
      <c r="P600"/>
      <c r="Q600"/>
      <c r="R600"/>
    </row>
    <row r="601" spans="1:18" s="4" customFormat="1" x14ac:dyDescent="0.3">
      <c r="A601" s="5"/>
      <c r="B601"/>
      <c r="C601"/>
      <c r="D601"/>
      <c r="E601"/>
      <c r="F601"/>
      <c r="G601"/>
      <c r="H601"/>
      <c r="I601"/>
      <c r="J601"/>
      <c r="K601" s="5"/>
      <c r="L601"/>
      <c r="M601"/>
      <c r="N601"/>
      <c r="O601"/>
      <c r="P601"/>
      <c r="Q601"/>
      <c r="R601"/>
    </row>
    <row r="602" spans="1:18" s="4" customFormat="1" x14ac:dyDescent="0.3">
      <c r="A602" s="5"/>
      <c r="B602"/>
      <c r="C602"/>
      <c r="D602"/>
      <c r="E602"/>
      <c r="F602"/>
      <c r="G602"/>
      <c r="H602"/>
      <c r="I602"/>
      <c r="J602"/>
      <c r="K602" s="5"/>
      <c r="L602"/>
      <c r="M602"/>
      <c r="N602"/>
      <c r="O602"/>
      <c r="P602"/>
      <c r="Q602"/>
      <c r="R602"/>
    </row>
    <row r="603" spans="1:18" s="4" customFormat="1" x14ac:dyDescent="0.3">
      <c r="A603" s="5"/>
      <c r="B603"/>
      <c r="C603"/>
      <c r="D603"/>
      <c r="E603"/>
      <c r="F603"/>
      <c r="G603"/>
      <c r="H603"/>
      <c r="I603"/>
      <c r="J603"/>
      <c r="K603" s="5"/>
      <c r="L603"/>
      <c r="M603"/>
      <c r="N603"/>
      <c r="O603"/>
      <c r="P603"/>
      <c r="Q603"/>
      <c r="R603"/>
    </row>
    <row r="604" spans="1:18" s="4" customFormat="1" x14ac:dyDescent="0.3">
      <c r="A604" s="5"/>
      <c r="B604"/>
      <c r="C604"/>
      <c r="D604"/>
      <c r="E604"/>
      <c r="F604"/>
      <c r="G604"/>
      <c r="H604"/>
      <c r="I604"/>
      <c r="J604"/>
      <c r="K604" s="5"/>
      <c r="L604"/>
      <c r="M604"/>
      <c r="N604"/>
      <c r="O604"/>
      <c r="P604"/>
      <c r="Q604"/>
      <c r="R604"/>
    </row>
    <row r="605" spans="1:18" s="4" customFormat="1" x14ac:dyDescent="0.3">
      <c r="A605" s="5"/>
      <c r="B605"/>
      <c r="C605"/>
      <c r="D605"/>
      <c r="E605"/>
      <c r="F605"/>
      <c r="G605"/>
      <c r="H605"/>
      <c r="I605"/>
      <c r="J605"/>
      <c r="K605" s="5"/>
      <c r="L605"/>
      <c r="M605"/>
      <c r="N605"/>
      <c r="O605"/>
      <c r="P605"/>
      <c r="Q605"/>
      <c r="R605"/>
    </row>
    <row r="606" spans="1:18" s="4" customFormat="1" x14ac:dyDescent="0.3">
      <c r="A606" s="5"/>
      <c r="B606"/>
      <c r="C606"/>
      <c r="D606"/>
      <c r="E606"/>
      <c r="F606"/>
      <c r="G606"/>
      <c r="H606"/>
      <c r="I606"/>
      <c r="J606"/>
      <c r="K606" s="5"/>
      <c r="L606"/>
      <c r="M606"/>
      <c r="N606"/>
      <c r="O606"/>
      <c r="P606"/>
      <c r="Q606"/>
      <c r="R606"/>
    </row>
    <row r="607" spans="1:18" s="4" customFormat="1" x14ac:dyDescent="0.3">
      <c r="A607" s="5"/>
      <c r="B607"/>
      <c r="C607"/>
      <c r="D607"/>
      <c r="E607"/>
      <c r="F607"/>
      <c r="G607"/>
      <c r="H607"/>
      <c r="I607"/>
      <c r="J607"/>
      <c r="K607" s="5"/>
      <c r="L607"/>
      <c r="M607"/>
      <c r="N607"/>
      <c r="O607"/>
      <c r="P607"/>
      <c r="Q607"/>
      <c r="R607"/>
    </row>
    <row r="608" spans="1:18" s="4" customFormat="1" x14ac:dyDescent="0.3">
      <c r="A608" s="5"/>
      <c r="B608"/>
      <c r="C608"/>
      <c r="D608"/>
      <c r="E608"/>
      <c r="F608"/>
      <c r="G608"/>
      <c r="H608"/>
      <c r="I608"/>
      <c r="J608"/>
      <c r="K608" s="5"/>
      <c r="L608"/>
      <c r="M608"/>
      <c r="N608"/>
      <c r="O608"/>
      <c r="P608"/>
      <c r="Q608"/>
      <c r="R608"/>
    </row>
    <row r="609" spans="1:18" s="4" customFormat="1" x14ac:dyDescent="0.3">
      <c r="A609" s="5"/>
      <c r="B609"/>
      <c r="C609"/>
      <c r="D609"/>
      <c r="E609"/>
      <c r="F609"/>
      <c r="G609"/>
      <c r="H609"/>
      <c r="I609"/>
      <c r="J609"/>
      <c r="K609" s="5"/>
      <c r="L609"/>
      <c r="M609"/>
      <c r="N609"/>
      <c r="O609"/>
      <c r="P609"/>
      <c r="Q609"/>
      <c r="R609"/>
    </row>
    <row r="610" spans="1:18" s="4" customFormat="1" x14ac:dyDescent="0.3">
      <c r="A610" s="5"/>
      <c r="B610"/>
      <c r="C610"/>
      <c r="D610"/>
      <c r="E610"/>
      <c r="F610"/>
      <c r="G610"/>
      <c r="H610"/>
      <c r="I610"/>
      <c r="J610"/>
      <c r="K610" s="5"/>
      <c r="L610"/>
      <c r="M610"/>
      <c r="N610"/>
      <c r="O610"/>
      <c r="P610"/>
      <c r="Q610"/>
      <c r="R610"/>
    </row>
    <row r="611" spans="1:18" s="4" customFormat="1" x14ac:dyDescent="0.3">
      <c r="A611" s="5"/>
      <c r="B611"/>
      <c r="C611"/>
      <c r="D611"/>
      <c r="E611"/>
      <c r="F611"/>
      <c r="G611"/>
      <c r="H611"/>
      <c r="I611"/>
      <c r="J611"/>
      <c r="K611" s="5"/>
      <c r="L611"/>
      <c r="M611"/>
      <c r="N611"/>
      <c r="O611"/>
      <c r="P611"/>
      <c r="Q611"/>
      <c r="R611"/>
    </row>
    <row r="612" spans="1:18" s="4" customFormat="1" x14ac:dyDescent="0.3">
      <c r="A612" s="5"/>
      <c r="B612"/>
      <c r="C612"/>
      <c r="D612"/>
      <c r="E612"/>
      <c r="F612"/>
      <c r="G612"/>
      <c r="H612"/>
      <c r="I612"/>
      <c r="J612"/>
      <c r="K612" s="5"/>
      <c r="L612"/>
      <c r="M612"/>
      <c r="N612"/>
      <c r="O612"/>
      <c r="P612"/>
      <c r="Q612"/>
      <c r="R612"/>
    </row>
    <row r="613" spans="1:18" s="4" customFormat="1" x14ac:dyDescent="0.3">
      <c r="A613" s="5"/>
      <c r="B613"/>
      <c r="C613"/>
      <c r="D613"/>
      <c r="E613"/>
      <c r="F613"/>
      <c r="G613"/>
      <c r="H613"/>
      <c r="I613"/>
      <c r="J613"/>
      <c r="K613" s="5"/>
      <c r="L613"/>
      <c r="M613"/>
      <c r="N613"/>
      <c r="O613"/>
      <c r="P613"/>
      <c r="Q613"/>
      <c r="R613"/>
    </row>
    <row r="614" spans="1:18" s="4" customFormat="1" x14ac:dyDescent="0.3">
      <c r="A614" s="5"/>
      <c r="B614"/>
      <c r="C614"/>
      <c r="D614"/>
      <c r="E614"/>
      <c r="F614"/>
      <c r="G614"/>
      <c r="H614"/>
      <c r="I614"/>
      <c r="J614"/>
      <c r="K614" s="5"/>
      <c r="L614"/>
      <c r="M614"/>
      <c r="N614"/>
      <c r="O614"/>
      <c r="P614"/>
      <c r="Q614"/>
      <c r="R614"/>
    </row>
    <row r="615" spans="1:18" s="4" customFormat="1" x14ac:dyDescent="0.3">
      <c r="A615" s="5"/>
      <c r="B615"/>
      <c r="C615"/>
      <c r="D615"/>
      <c r="E615"/>
      <c r="F615"/>
      <c r="G615"/>
      <c r="H615"/>
      <c r="I615"/>
      <c r="J615"/>
      <c r="K615" s="5"/>
      <c r="L615"/>
      <c r="M615"/>
      <c r="N615"/>
      <c r="O615"/>
      <c r="P615"/>
      <c r="Q615"/>
      <c r="R615"/>
    </row>
    <row r="616" spans="1:18" s="4" customFormat="1" x14ac:dyDescent="0.3">
      <c r="A616" s="5"/>
      <c r="B616"/>
      <c r="C616"/>
      <c r="D616"/>
      <c r="E616"/>
      <c r="F616"/>
      <c r="G616"/>
      <c r="H616"/>
      <c r="I616"/>
      <c r="J616"/>
      <c r="K616" s="5"/>
      <c r="L616"/>
      <c r="M616"/>
      <c r="N616"/>
      <c r="O616"/>
      <c r="P616"/>
      <c r="Q616"/>
      <c r="R616"/>
    </row>
    <row r="617" spans="1:18" s="4" customFormat="1" x14ac:dyDescent="0.3">
      <c r="A617" s="5"/>
      <c r="B617"/>
      <c r="C617"/>
      <c r="D617"/>
      <c r="E617"/>
      <c r="F617"/>
      <c r="G617"/>
      <c r="H617"/>
      <c r="I617"/>
      <c r="J617"/>
      <c r="K617" s="5"/>
      <c r="L617"/>
      <c r="M617"/>
      <c r="N617"/>
      <c r="O617"/>
      <c r="P617"/>
      <c r="Q617"/>
      <c r="R617"/>
    </row>
    <row r="618" spans="1:18" s="4" customFormat="1" x14ac:dyDescent="0.3">
      <c r="A618" s="5"/>
      <c r="B618"/>
      <c r="C618"/>
      <c r="D618"/>
      <c r="E618"/>
      <c r="F618"/>
      <c r="G618"/>
      <c r="H618"/>
      <c r="I618"/>
      <c r="J618"/>
      <c r="K618" s="5"/>
      <c r="L618"/>
      <c r="M618"/>
      <c r="N618"/>
      <c r="O618"/>
      <c r="P618"/>
      <c r="Q618"/>
      <c r="R618"/>
    </row>
    <row r="619" spans="1:18" s="4" customFormat="1" x14ac:dyDescent="0.3">
      <c r="A619" s="5"/>
      <c r="B619"/>
      <c r="C619"/>
      <c r="D619"/>
      <c r="E619"/>
      <c r="F619"/>
      <c r="G619"/>
      <c r="H619"/>
      <c r="I619"/>
      <c r="J619"/>
      <c r="K619" s="5"/>
      <c r="L619"/>
      <c r="M619"/>
      <c r="N619"/>
      <c r="O619"/>
      <c r="P619"/>
      <c r="Q619"/>
      <c r="R619"/>
    </row>
    <row r="620" spans="1:18" s="4" customFormat="1" x14ac:dyDescent="0.3">
      <c r="A620" s="5"/>
      <c r="B620"/>
      <c r="C620"/>
      <c r="D620"/>
      <c r="E620"/>
      <c r="F620"/>
      <c r="G620"/>
      <c r="H620"/>
      <c r="I620"/>
      <c r="J620"/>
      <c r="K620" s="5"/>
      <c r="L620"/>
      <c r="M620"/>
      <c r="N620"/>
      <c r="O620"/>
      <c r="P620"/>
      <c r="Q620"/>
      <c r="R620"/>
    </row>
    <row r="621" spans="1:18" s="4" customFormat="1" x14ac:dyDescent="0.3">
      <c r="A621" s="5"/>
      <c r="B621"/>
      <c r="C621"/>
      <c r="D621"/>
      <c r="E621"/>
      <c r="F621"/>
      <c r="G621"/>
      <c r="H621"/>
      <c r="I621"/>
      <c r="J621"/>
      <c r="K621" s="5"/>
      <c r="L621"/>
      <c r="M621"/>
      <c r="N621"/>
      <c r="O621"/>
      <c r="P621"/>
      <c r="Q621"/>
      <c r="R621"/>
    </row>
    <row r="622" spans="1:18" s="4" customFormat="1" x14ac:dyDescent="0.3">
      <c r="A622" s="5"/>
      <c r="B622"/>
      <c r="C622"/>
      <c r="D622"/>
      <c r="E622"/>
      <c r="F622"/>
      <c r="G622"/>
      <c r="H622"/>
      <c r="I622"/>
      <c r="J622"/>
      <c r="K622" s="5"/>
      <c r="L622"/>
      <c r="M622"/>
      <c r="N622"/>
      <c r="O622"/>
      <c r="P622"/>
      <c r="Q622"/>
      <c r="R622"/>
    </row>
    <row r="623" spans="1:18" s="4" customFormat="1" x14ac:dyDescent="0.3">
      <c r="A623" s="5"/>
      <c r="B623"/>
      <c r="C623"/>
      <c r="D623"/>
      <c r="E623"/>
      <c r="F623"/>
      <c r="G623"/>
      <c r="H623"/>
      <c r="I623"/>
      <c r="J623"/>
      <c r="K623" s="5"/>
      <c r="L623"/>
      <c r="M623"/>
      <c r="N623"/>
      <c r="O623"/>
      <c r="P623"/>
      <c r="Q623"/>
      <c r="R623"/>
    </row>
    <row r="624" spans="1:18" s="4" customFormat="1" x14ac:dyDescent="0.3">
      <c r="A624" s="5"/>
      <c r="B624"/>
      <c r="C624"/>
      <c r="D624"/>
      <c r="E624"/>
      <c r="F624"/>
      <c r="G624"/>
      <c r="H624"/>
      <c r="I624"/>
      <c r="J624"/>
      <c r="K624" s="5"/>
      <c r="L624"/>
      <c r="M624"/>
      <c r="N624"/>
      <c r="O624"/>
      <c r="P624"/>
      <c r="Q624"/>
      <c r="R624"/>
    </row>
    <row r="625" spans="1:18" s="4" customFormat="1" x14ac:dyDescent="0.3">
      <c r="A625" s="5"/>
      <c r="B625"/>
      <c r="C625"/>
      <c r="D625"/>
      <c r="E625"/>
      <c r="F625"/>
      <c r="G625"/>
      <c r="H625"/>
      <c r="I625"/>
      <c r="J625"/>
      <c r="K625" s="5"/>
      <c r="L625"/>
      <c r="M625"/>
      <c r="N625"/>
      <c r="O625"/>
      <c r="P625"/>
      <c r="Q625"/>
      <c r="R625"/>
    </row>
    <row r="626" spans="1:18" s="4" customFormat="1" x14ac:dyDescent="0.3">
      <c r="A626" s="5"/>
      <c r="B626"/>
      <c r="C626"/>
      <c r="D626"/>
      <c r="E626"/>
      <c r="F626"/>
      <c r="G626"/>
      <c r="H626"/>
      <c r="I626"/>
      <c r="J626"/>
      <c r="K626" s="5"/>
      <c r="L626"/>
      <c r="M626"/>
      <c r="N626"/>
      <c r="O626"/>
      <c r="P626"/>
      <c r="Q626"/>
      <c r="R626"/>
    </row>
    <row r="627" spans="1:18" s="4" customFormat="1" x14ac:dyDescent="0.3">
      <c r="A627" s="5"/>
      <c r="B627"/>
      <c r="C627"/>
      <c r="D627"/>
      <c r="E627"/>
      <c r="F627"/>
      <c r="G627"/>
      <c r="H627"/>
      <c r="I627"/>
      <c r="J627"/>
      <c r="K627" s="5"/>
      <c r="L627"/>
      <c r="M627"/>
      <c r="N627"/>
      <c r="O627"/>
      <c r="P627"/>
      <c r="Q627"/>
      <c r="R627"/>
    </row>
    <row r="628" spans="1:18" s="4" customFormat="1" x14ac:dyDescent="0.3">
      <c r="A628" s="5"/>
      <c r="B628"/>
      <c r="C628"/>
      <c r="D628"/>
      <c r="E628"/>
      <c r="F628"/>
      <c r="G628"/>
      <c r="H628"/>
      <c r="I628"/>
      <c r="J628"/>
      <c r="K628" s="5"/>
      <c r="L628"/>
      <c r="M628"/>
      <c r="N628"/>
      <c r="O628"/>
      <c r="P628"/>
      <c r="Q628"/>
      <c r="R628"/>
    </row>
    <row r="629" spans="1:18" s="4" customFormat="1" x14ac:dyDescent="0.3">
      <c r="A629" s="5"/>
      <c r="B629"/>
      <c r="C629"/>
      <c r="D629"/>
      <c r="E629"/>
      <c r="F629"/>
      <c r="G629"/>
      <c r="H629"/>
      <c r="I629"/>
      <c r="J629"/>
      <c r="K629" s="5"/>
      <c r="L629"/>
      <c r="M629"/>
      <c r="N629"/>
      <c r="O629"/>
      <c r="P629"/>
      <c r="Q629"/>
      <c r="R629"/>
    </row>
    <row r="630" spans="1:18" s="4" customFormat="1" x14ac:dyDescent="0.3">
      <c r="A630" s="5"/>
      <c r="B630"/>
      <c r="C630"/>
      <c r="D630"/>
      <c r="E630"/>
      <c r="F630"/>
      <c r="G630"/>
      <c r="H630"/>
      <c r="I630"/>
      <c r="J630"/>
      <c r="K630" s="5"/>
      <c r="L630"/>
      <c r="M630"/>
      <c r="N630"/>
      <c r="O630"/>
      <c r="P630"/>
      <c r="Q630"/>
      <c r="R630"/>
    </row>
    <row r="631" spans="1:18" s="4" customFormat="1" x14ac:dyDescent="0.3">
      <c r="A631" s="5"/>
      <c r="B631"/>
      <c r="C631"/>
      <c r="D631"/>
      <c r="E631"/>
      <c r="F631"/>
      <c r="G631"/>
      <c r="H631"/>
      <c r="I631"/>
      <c r="J631"/>
      <c r="K631" s="5"/>
      <c r="L631"/>
      <c r="M631"/>
      <c r="N631"/>
      <c r="O631"/>
      <c r="P631"/>
      <c r="Q631"/>
      <c r="R631"/>
    </row>
    <row r="632" spans="1:18" s="4" customFormat="1" x14ac:dyDescent="0.3">
      <c r="A632" s="5"/>
      <c r="B632"/>
      <c r="C632"/>
      <c r="D632"/>
      <c r="E632"/>
      <c r="F632"/>
      <c r="G632"/>
      <c r="H632"/>
      <c r="I632"/>
      <c r="J632"/>
      <c r="K632" s="5"/>
      <c r="L632"/>
      <c r="M632"/>
      <c r="N632"/>
      <c r="O632"/>
      <c r="P632"/>
      <c r="Q632"/>
      <c r="R632"/>
    </row>
    <row r="633" spans="1:18" s="4" customFormat="1" x14ac:dyDescent="0.3">
      <c r="A633" s="5"/>
      <c r="B633"/>
      <c r="C633"/>
      <c r="D633"/>
      <c r="E633"/>
      <c r="F633"/>
      <c r="G633"/>
      <c r="H633"/>
      <c r="I633"/>
      <c r="J633"/>
      <c r="K633" s="5"/>
      <c r="L633"/>
      <c r="M633"/>
      <c r="N633"/>
      <c r="O633"/>
      <c r="P633"/>
      <c r="Q633"/>
      <c r="R633"/>
    </row>
    <row r="634" spans="1:18" s="4" customFormat="1" x14ac:dyDescent="0.3">
      <c r="A634" s="5"/>
      <c r="B634"/>
      <c r="C634"/>
      <c r="D634"/>
      <c r="E634"/>
      <c r="F634"/>
      <c r="G634"/>
      <c r="H634"/>
      <c r="I634"/>
      <c r="J634"/>
      <c r="K634" s="5"/>
      <c r="L634"/>
      <c r="M634"/>
      <c r="N634"/>
      <c r="O634"/>
      <c r="P634"/>
      <c r="Q634"/>
      <c r="R634"/>
    </row>
    <row r="635" spans="1:18" s="4" customFormat="1" x14ac:dyDescent="0.3">
      <c r="A635" s="5"/>
      <c r="B635"/>
      <c r="C635"/>
      <c r="D635"/>
      <c r="E635"/>
      <c r="F635"/>
      <c r="G635"/>
      <c r="H635"/>
      <c r="I635"/>
      <c r="J635"/>
      <c r="K635" s="5"/>
      <c r="L635"/>
      <c r="M635"/>
      <c r="N635"/>
      <c r="O635"/>
      <c r="P635"/>
      <c r="Q635"/>
      <c r="R635"/>
    </row>
    <row r="636" spans="1:18" s="4" customFormat="1" x14ac:dyDescent="0.3">
      <c r="A636" s="5"/>
      <c r="B636"/>
      <c r="C636"/>
      <c r="D636"/>
      <c r="E636"/>
      <c r="F636"/>
      <c r="G636"/>
      <c r="H636"/>
      <c r="I636"/>
      <c r="J636"/>
      <c r="K636" s="5"/>
      <c r="L636"/>
      <c r="M636"/>
      <c r="N636"/>
      <c r="O636"/>
      <c r="P636"/>
      <c r="Q636"/>
      <c r="R636"/>
    </row>
    <row r="637" spans="1:18" s="4" customFormat="1" x14ac:dyDescent="0.3">
      <c r="A637" s="5"/>
      <c r="B637"/>
      <c r="C637"/>
      <c r="D637"/>
      <c r="E637"/>
      <c r="F637"/>
      <c r="G637"/>
      <c r="H637"/>
      <c r="I637"/>
      <c r="J637"/>
      <c r="K637" s="5"/>
      <c r="L637"/>
      <c r="M637"/>
      <c r="N637"/>
      <c r="O637"/>
      <c r="P637"/>
      <c r="Q637"/>
      <c r="R637"/>
    </row>
    <row r="638" spans="1:18" s="4" customFormat="1" x14ac:dyDescent="0.3">
      <c r="A638" s="5"/>
      <c r="B638"/>
      <c r="C638"/>
      <c r="D638"/>
      <c r="E638"/>
      <c r="F638"/>
      <c r="G638"/>
      <c r="H638"/>
      <c r="I638"/>
      <c r="J638"/>
      <c r="K638" s="5"/>
      <c r="L638"/>
      <c r="M638"/>
      <c r="N638"/>
      <c r="O638"/>
      <c r="P638"/>
      <c r="Q638"/>
      <c r="R638"/>
    </row>
    <row r="639" spans="1:18" s="4" customFormat="1" x14ac:dyDescent="0.3">
      <c r="A639" s="5"/>
      <c r="B639"/>
      <c r="C639"/>
      <c r="D639"/>
      <c r="E639"/>
      <c r="F639"/>
      <c r="G639"/>
      <c r="H639"/>
      <c r="I639"/>
      <c r="J639"/>
      <c r="K639" s="5"/>
      <c r="L639"/>
      <c r="M639"/>
      <c r="N639"/>
      <c r="O639"/>
      <c r="P639"/>
      <c r="Q639"/>
      <c r="R639"/>
    </row>
    <row r="640" spans="1:18" s="4" customFormat="1" x14ac:dyDescent="0.3">
      <c r="A640" s="5"/>
      <c r="B640"/>
      <c r="C640"/>
      <c r="D640"/>
      <c r="E640"/>
      <c r="F640"/>
      <c r="G640"/>
      <c r="H640"/>
      <c r="I640"/>
      <c r="J640"/>
      <c r="K640" s="5"/>
      <c r="L640"/>
      <c r="M640"/>
      <c r="N640"/>
      <c r="O640"/>
      <c r="P640"/>
      <c r="Q640"/>
      <c r="R640"/>
    </row>
    <row r="641" spans="1:18" s="4" customFormat="1" x14ac:dyDescent="0.3">
      <c r="A641" s="5"/>
      <c r="B641"/>
      <c r="C641"/>
      <c r="D641"/>
      <c r="E641"/>
      <c r="F641"/>
      <c r="G641"/>
      <c r="H641"/>
      <c r="I641"/>
      <c r="J641"/>
      <c r="K641" s="5"/>
      <c r="L641"/>
      <c r="M641"/>
      <c r="N641"/>
      <c r="O641"/>
      <c r="P641"/>
      <c r="Q641"/>
      <c r="R641"/>
    </row>
    <row r="642" spans="1:18" s="4" customFormat="1" x14ac:dyDescent="0.3">
      <c r="A642" s="5"/>
      <c r="B642"/>
      <c r="C642"/>
      <c r="D642"/>
      <c r="E642"/>
      <c r="F642"/>
      <c r="G642"/>
      <c r="H642"/>
      <c r="I642"/>
      <c r="J642"/>
      <c r="K642" s="5"/>
      <c r="L642"/>
      <c r="M642"/>
      <c r="N642"/>
      <c r="O642"/>
      <c r="P642"/>
      <c r="Q642"/>
      <c r="R642"/>
    </row>
    <row r="643" spans="1:18" s="4" customFormat="1" x14ac:dyDescent="0.3">
      <c r="A643" s="5"/>
      <c r="B643"/>
      <c r="C643"/>
      <c r="D643"/>
      <c r="E643"/>
      <c r="F643"/>
      <c r="G643"/>
      <c r="H643"/>
      <c r="I643"/>
      <c r="J643"/>
      <c r="K643" s="5"/>
      <c r="L643"/>
      <c r="M643"/>
      <c r="N643"/>
      <c r="O643"/>
      <c r="P643"/>
      <c r="Q643"/>
      <c r="R643"/>
    </row>
    <row r="644" spans="1:18" s="4" customFormat="1" x14ac:dyDescent="0.3">
      <c r="A644" s="5"/>
      <c r="B644"/>
      <c r="C644"/>
      <c r="D644"/>
      <c r="E644"/>
      <c r="F644"/>
      <c r="G644"/>
      <c r="H644"/>
      <c r="I644"/>
      <c r="J644"/>
      <c r="K644" s="5"/>
      <c r="L644"/>
      <c r="M644"/>
      <c r="N644"/>
      <c r="O644"/>
      <c r="P644"/>
      <c r="Q644"/>
      <c r="R644"/>
    </row>
    <row r="645" spans="1:18" s="4" customFormat="1" x14ac:dyDescent="0.3">
      <c r="A645" s="5"/>
      <c r="B645"/>
      <c r="C645"/>
      <c r="D645"/>
      <c r="E645"/>
      <c r="F645"/>
      <c r="G645"/>
      <c r="H645"/>
      <c r="I645"/>
      <c r="J645"/>
      <c r="K645" s="5"/>
      <c r="L645"/>
      <c r="M645"/>
      <c r="N645"/>
      <c r="O645"/>
      <c r="P645"/>
      <c r="Q645"/>
      <c r="R645"/>
    </row>
    <row r="646" spans="1:18" s="4" customFormat="1" x14ac:dyDescent="0.3">
      <c r="A646" s="5"/>
      <c r="B646"/>
      <c r="C646"/>
      <c r="D646"/>
      <c r="E646"/>
      <c r="F646"/>
      <c r="G646"/>
      <c r="H646"/>
      <c r="I646"/>
      <c r="J646"/>
      <c r="K646" s="5"/>
      <c r="L646"/>
      <c r="M646"/>
      <c r="N646"/>
      <c r="O646"/>
      <c r="P646"/>
      <c r="Q646"/>
      <c r="R646"/>
    </row>
    <row r="647" spans="1:18" s="4" customFormat="1" x14ac:dyDescent="0.3">
      <c r="A647" s="5"/>
      <c r="B647"/>
      <c r="C647"/>
      <c r="D647"/>
      <c r="E647"/>
      <c r="F647"/>
      <c r="G647"/>
      <c r="H647"/>
      <c r="I647"/>
      <c r="J647"/>
      <c r="K647" s="5"/>
      <c r="L647"/>
      <c r="M647"/>
      <c r="N647"/>
      <c r="O647"/>
      <c r="P647"/>
      <c r="Q647"/>
      <c r="R647"/>
    </row>
    <row r="648" spans="1:18" s="4" customFormat="1" x14ac:dyDescent="0.3">
      <c r="A648" s="5"/>
      <c r="B648"/>
      <c r="C648"/>
      <c r="D648"/>
      <c r="E648"/>
      <c r="F648"/>
      <c r="G648"/>
      <c r="H648"/>
      <c r="I648"/>
      <c r="J648"/>
      <c r="K648" s="5"/>
      <c r="L648"/>
      <c r="M648"/>
      <c r="N648"/>
      <c r="O648"/>
      <c r="P648"/>
      <c r="Q648"/>
      <c r="R648"/>
    </row>
    <row r="649" spans="1:18" s="4" customFormat="1" x14ac:dyDescent="0.3">
      <c r="A649" s="5"/>
      <c r="B649"/>
      <c r="C649"/>
      <c r="D649"/>
      <c r="E649"/>
      <c r="F649"/>
      <c r="G649"/>
      <c r="H649"/>
      <c r="I649"/>
      <c r="J649"/>
      <c r="K649" s="5"/>
      <c r="L649"/>
      <c r="M649"/>
      <c r="N649"/>
      <c r="O649"/>
      <c r="P649"/>
      <c r="Q649"/>
      <c r="R649"/>
    </row>
    <row r="650" spans="1:18" s="4" customFormat="1" x14ac:dyDescent="0.3">
      <c r="A650" s="5"/>
      <c r="B650"/>
      <c r="C650"/>
      <c r="D650"/>
      <c r="E650"/>
      <c r="F650"/>
      <c r="G650"/>
      <c r="H650"/>
      <c r="I650"/>
      <c r="J650"/>
      <c r="K650" s="5"/>
      <c r="L650"/>
      <c r="M650"/>
      <c r="N650"/>
      <c r="O650"/>
      <c r="P650"/>
      <c r="Q650"/>
      <c r="R650"/>
    </row>
    <row r="651" spans="1:18" s="4" customFormat="1" x14ac:dyDescent="0.3">
      <c r="A651" s="5"/>
      <c r="B651"/>
      <c r="C651"/>
      <c r="D651"/>
      <c r="E651"/>
      <c r="F651"/>
      <c r="G651"/>
      <c r="H651"/>
      <c r="I651"/>
      <c r="J651"/>
      <c r="K651" s="5"/>
      <c r="L651"/>
      <c r="M651"/>
      <c r="N651"/>
      <c r="O651"/>
      <c r="P651"/>
      <c r="Q651"/>
      <c r="R65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Nayrobis Bolivar</vt:lpstr>
      <vt:lpstr>Nayrobis Bolivar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Sandoval</dc:creator>
  <cp:lastModifiedBy>Edgar Sandoval</cp:lastModifiedBy>
  <dcterms:created xsi:type="dcterms:W3CDTF">2026-05-12T20:20:47Z</dcterms:created>
  <dcterms:modified xsi:type="dcterms:W3CDTF">2026-05-15T15:48:52Z</dcterms:modified>
</cp:coreProperties>
</file>