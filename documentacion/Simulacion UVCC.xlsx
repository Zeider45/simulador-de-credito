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.sandoval\Desktop\"/>
    </mc:Choice>
  </mc:AlternateContent>
  <bookViews>
    <workbookView xWindow="-120" yWindow="-120" windowWidth="29040" windowHeight="15840"/>
  </bookViews>
  <sheets>
    <sheet name="ejercicio en cuotas" sheetId="1" r:id="rId1"/>
    <sheet name="ejercicio inyección" sheetId="2" r:id="rId2"/>
    <sheet name="Hoja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9" i="2" l="1"/>
  <c r="G9" i="2" s="1"/>
  <c r="H15" i="2"/>
  <c r="B9" i="2"/>
  <c r="C2" i="2"/>
  <c r="A13" i="1"/>
  <c r="I13" i="1" s="1"/>
  <c r="I12" i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C12" i="1"/>
  <c r="N11" i="1"/>
  <c r="M11" i="1"/>
  <c r="B3" i="1"/>
  <c r="F9" i="2" l="1"/>
  <c r="D10" i="2"/>
  <c r="E9" i="2"/>
  <c r="B10" i="2"/>
  <c r="E12" i="1"/>
  <c r="H12" i="1" s="1"/>
  <c r="A14" i="1"/>
  <c r="A15" i="1" s="1"/>
  <c r="I15" i="1" s="1"/>
  <c r="A16" i="1"/>
  <c r="C13" i="1"/>
  <c r="F12" i="1" l="1"/>
  <c r="G12" i="1" s="1"/>
  <c r="D11" i="2"/>
  <c r="G10" i="2"/>
  <c r="B11" i="2"/>
  <c r="F10" i="2"/>
  <c r="E10" i="2"/>
  <c r="I14" i="1"/>
  <c r="I16" i="1"/>
  <c r="A17" i="1"/>
  <c r="C14" i="1"/>
  <c r="J12" i="1" l="1"/>
  <c r="K12" i="1"/>
  <c r="L12" i="1" s="1"/>
  <c r="M12" i="1"/>
  <c r="N12" i="1" s="1"/>
  <c r="D12" i="2"/>
  <c r="G11" i="2"/>
  <c r="B12" i="2"/>
  <c r="E11" i="2"/>
  <c r="F11" i="2"/>
  <c r="E13" i="1"/>
  <c r="F13" i="1" s="1"/>
  <c r="C15" i="1"/>
  <c r="A18" i="1"/>
  <c r="I17" i="1"/>
  <c r="D13" i="2" l="1"/>
  <c r="G12" i="2"/>
  <c r="B13" i="2"/>
  <c r="F12" i="2"/>
  <c r="E12" i="2"/>
  <c r="H13" i="1"/>
  <c r="G13" i="1"/>
  <c r="C16" i="1"/>
  <c r="K13" i="1"/>
  <c r="J13" i="1"/>
  <c r="A19" i="1"/>
  <c r="I18" i="1"/>
  <c r="M13" i="1"/>
  <c r="D14" i="2" l="1"/>
  <c r="G13" i="2"/>
  <c r="B14" i="2"/>
  <c r="F13" i="2"/>
  <c r="E13" i="2"/>
  <c r="L13" i="1"/>
  <c r="I19" i="1"/>
  <c r="A20" i="1"/>
  <c r="C17" i="1"/>
  <c r="N13" i="1"/>
  <c r="E14" i="1"/>
  <c r="D15" i="2" l="1"/>
  <c r="G15" i="2" s="1"/>
  <c r="G14" i="2"/>
  <c r="B15" i="2"/>
  <c r="E14" i="2"/>
  <c r="F14" i="2"/>
  <c r="H14" i="1"/>
  <c r="C18" i="1"/>
  <c r="I20" i="1"/>
  <c r="A21" i="1"/>
  <c r="F14" i="1"/>
  <c r="E15" i="2" l="1"/>
  <c r="F15" i="2"/>
  <c r="C19" i="1"/>
  <c r="A22" i="1"/>
  <c r="I21" i="1"/>
  <c r="K14" i="1"/>
  <c r="L14" i="1" s="1"/>
  <c r="J14" i="1"/>
  <c r="M14" i="1"/>
  <c r="G14" i="1"/>
  <c r="I15" i="2" l="1"/>
  <c r="J15" i="2" s="1"/>
  <c r="C20" i="1"/>
  <c r="I22" i="1"/>
  <c r="A23" i="1"/>
  <c r="I23" i="1" s="1"/>
  <c r="I24" i="1" s="1"/>
  <c r="N14" i="1"/>
  <c r="E15" i="1"/>
  <c r="F15" i="1" s="1"/>
  <c r="G15" i="1" l="1"/>
  <c r="H15" i="1"/>
  <c r="K15" i="1"/>
  <c r="J15" i="1"/>
  <c r="M15" i="1"/>
  <c r="C21" i="1"/>
  <c r="L15" i="1" l="1"/>
  <c r="E16" i="1"/>
  <c r="N15" i="1"/>
  <c r="C22" i="1"/>
  <c r="H16" i="1" l="1"/>
  <c r="C23" i="1"/>
  <c r="F16" i="1"/>
  <c r="G16" i="1" s="1"/>
  <c r="K16" i="1" l="1"/>
  <c r="L16" i="1" s="1"/>
  <c r="J16" i="1"/>
  <c r="M16" i="1"/>
  <c r="N16" i="1" l="1"/>
  <c r="E17" i="1"/>
  <c r="H17" i="1" l="1"/>
  <c r="F17" i="1"/>
  <c r="G17" i="1" s="1"/>
  <c r="K17" i="1" l="1"/>
  <c r="L17" i="1" s="1"/>
  <c r="J17" i="1"/>
  <c r="M17" i="1"/>
  <c r="N17" i="1" l="1"/>
  <c r="E18" i="1"/>
  <c r="H18" i="1" l="1"/>
  <c r="F18" i="1"/>
  <c r="K18" i="1" l="1"/>
  <c r="L18" i="1" s="1"/>
  <c r="J18" i="1"/>
  <c r="M18" i="1"/>
  <c r="G18" i="1"/>
  <c r="E19" i="1" l="1"/>
  <c r="F19" i="1" s="1"/>
  <c r="N18" i="1"/>
  <c r="H19" i="1" l="1"/>
  <c r="G19" i="1"/>
  <c r="J19" i="1"/>
  <c r="K19" i="1"/>
  <c r="M19" i="1"/>
  <c r="E20" i="1" l="1"/>
  <c r="N19" i="1"/>
  <c r="F20" i="1"/>
  <c r="M20" i="1" s="1"/>
  <c r="L19" i="1"/>
  <c r="N20" i="1" l="1"/>
  <c r="E21" i="1"/>
  <c r="F21" i="1" s="1"/>
  <c r="M21" i="1" s="1"/>
  <c r="K20" i="1"/>
  <c r="J20" i="1"/>
  <c r="G20" i="1"/>
  <c r="H20" i="1"/>
  <c r="E22" i="1" l="1"/>
  <c r="F22" i="1" s="1"/>
  <c r="N21" i="1"/>
  <c r="L20" i="1"/>
  <c r="H21" i="1"/>
  <c r="G21" i="1"/>
  <c r="J21" i="1"/>
  <c r="K21" i="1"/>
  <c r="L21" i="1" l="1"/>
  <c r="G22" i="1"/>
  <c r="H22" i="1"/>
  <c r="K22" i="1"/>
  <c r="J22" i="1"/>
  <c r="M22" i="1"/>
  <c r="E23" i="1" l="1"/>
  <c r="N22" i="1"/>
  <c r="L22" i="1"/>
  <c r="H23" i="1" l="1"/>
  <c r="E24" i="1"/>
  <c r="F23" i="1"/>
  <c r="J23" i="1" l="1"/>
  <c r="K23" i="1"/>
  <c r="K24" i="1" s="1"/>
  <c r="F24" i="1"/>
  <c r="M23" i="1"/>
  <c r="N23" i="1" s="1"/>
  <c r="G23" i="1"/>
  <c r="G24" i="1" s="1"/>
  <c r="L23" i="1"/>
  <c r="H24" i="1"/>
  <c r="L24" i="1" l="1"/>
  <c r="B7" i="1" s="1"/>
  <c r="J24" i="1"/>
</calcChain>
</file>

<file path=xl/sharedStrings.xml><?xml version="1.0" encoding="utf-8"?>
<sst xmlns="http://schemas.openxmlformats.org/spreadsheetml/2006/main" count="43" uniqueCount="37">
  <si>
    <t>Tasa base anual</t>
  </si>
  <si>
    <t>mensual</t>
  </si>
  <si>
    <t>Capital inicial</t>
  </si>
  <si>
    <t>Amortización</t>
  </si>
  <si>
    <t>cuotas</t>
  </si>
  <si>
    <t>TIR (desde el punto de vista del prestamista, que pueda utlizar el flujo mensual nuevamente a la misma tasa)</t>
  </si>
  <si>
    <t>Tasa afectiva anual paga por el deudor en un año</t>
  </si>
  <si>
    <t>Flujo en Unidades de valor (UVCC)</t>
  </si>
  <si>
    <t>Flujo en Bs.</t>
  </si>
  <si>
    <t>Mes</t>
  </si>
  <si>
    <r>
      <t xml:space="preserve">Var % TC </t>
    </r>
    <r>
      <rPr>
        <b/>
        <vertAlign val="subscript"/>
        <sz val="11"/>
        <color theme="1"/>
        <rFont val="Calibri"/>
        <family val="2"/>
        <scheme val="minor"/>
      </rPr>
      <t>t</t>
    </r>
  </si>
  <si>
    <t>Tasa i mensual (ibmc)</t>
  </si>
  <si>
    <t>Valor del "idi" en bolívares</t>
  </si>
  <si>
    <t>Pago de interés</t>
  </si>
  <si>
    <t>Pago total</t>
  </si>
  <si>
    <t>Saldo en final en  MM UVCC</t>
  </si>
  <si>
    <t>Saldo final en MM Bs.</t>
  </si>
  <si>
    <t>Total</t>
  </si>
  <si>
    <t>Capital inicial mm Bs.</t>
  </si>
  <si>
    <t>diario</t>
  </si>
  <si>
    <t>En Bs.</t>
  </si>
  <si>
    <t>día</t>
  </si>
  <si>
    <t>Valor en Bs. De la unidad de inversión</t>
  </si>
  <si>
    <t>Pago de rendimiento</t>
  </si>
  <si>
    <t>d/c interés</t>
  </si>
  <si>
    <t>d/c cambio actualización</t>
  </si>
  <si>
    <t>Principal</t>
  </si>
  <si>
    <t>Var %</t>
  </si>
  <si>
    <t>Amortización cap inicial</t>
  </si>
  <si>
    <t>Componente de actualización</t>
  </si>
  <si>
    <t>Sábado</t>
  </si>
  <si>
    <t>Domingo</t>
  </si>
  <si>
    <t>Ejemplo inyección a 7 días</t>
  </si>
  <si>
    <t>tasa de rendimiento de las operaciones de inyección</t>
  </si>
  <si>
    <t>troi</t>
  </si>
  <si>
    <t>tibai</t>
  </si>
  <si>
    <t>tasa de interés base anual para la inyección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</si>
</sst>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#,##0.0"/>
    <numFmt numFmtId="168" formatCode="0.0"/>
    <numFmt numFmtId="169" formatCode="_(* #,##0.0000_);_(* \(#,##0.0000\);_(* &quot;-&quot;??_);_(@_)"/>
    <numFmt numFmtId="170" formatCode="0.0%"/>
    <numFmt numFmtId="171" formatCode="0.000%"/>
    <numFmt numFmtId="172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1" xfId="0" applyFont="1" applyBorder="1"/>
    <xf numFmtId="164" fontId="3" fillId="0" borderId="2" xfId="1" applyFont="1" applyBorder="1"/>
    <xf numFmtId="0" fontId="3" fillId="0" borderId="3" xfId="0" applyFont="1" applyBorder="1"/>
    <xf numFmtId="164" fontId="3" fillId="0" borderId="4" xfId="1" applyFont="1" applyBorder="1"/>
    <xf numFmtId="165" fontId="3" fillId="0" borderId="4" xfId="1" applyNumberFormat="1" applyFont="1" applyBorder="1"/>
    <xf numFmtId="10" fontId="0" fillId="0" borderId="0" xfId="2" applyNumberFormat="1" applyFont="1"/>
    <xf numFmtId="0" fontId="3" fillId="0" borderId="3" xfId="0" applyFont="1" applyBorder="1" applyAlignment="1">
      <alignment horizontal="left" vertical="center" wrapText="1"/>
    </xf>
    <xf numFmtId="165" fontId="3" fillId="0" borderId="4" xfId="1" applyNumberFormat="1" applyFont="1" applyBorder="1" applyAlignment="1">
      <alignment vertical="center"/>
    </xf>
    <xf numFmtId="165" fontId="0" fillId="0" borderId="0" xfId="1" applyNumberFormat="1" applyFont="1"/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64" fontId="0" fillId="0" borderId="0" xfId="1" applyFont="1"/>
    <xf numFmtId="167" fontId="0" fillId="0" borderId="0" xfId="0" applyNumberFormat="1"/>
    <xf numFmtId="168" fontId="0" fillId="0" borderId="0" xfId="0" applyNumberFormat="1"/>
    <xf numFmtId="0" fontId="6" fillId="0" borderId="8" xfId="0" applyFont="1" applyBorder="1"/>
    <xf numFmtId="164" fontId="6" fillId="0" borderId="8" xfId="0" applyNumberFormat="1" applyFont="1" applyBorder="1"/>
    <xf numFmtId="170" fontId="0" fillId="0" borderId="0" xfId="2" applyNumberFormat="1" applyFont="1"/>
    <xf numFmtId="169" fontId="0" fillId="0" borderId="0" xfId="0" applyNumberFormat="1"/>
    <xf numFmtId="9" fontId="0" fillId="0" borderId="0" xfId="2" applyFont="1"/>
    <xf numFmtId="9" fontId="3" fillId="0" borderId="2" xfId="2" applyFont="1" applyBorder="1"/>
    <xf numFmtId="171" fontId="3" fillId="0" borderId="4" xfId="2" applyNumberFormat="1" applyFont="1" applyBorder="1"/>
    <xf numFmtId="0" fontId="3" fillId="0" borderId="20" xfId="0" applyFont="1" applyBorder="1"/>
    <xf numFmtId="165" fontId="3" fillId="0" borderId="21" xfId="1" applyNumberFormat="1" applyFont="1" applyBorder="1"/>
    <xf numFmtId="0" fontId="2" fillId="2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72" fontId="0" fillId="0" borderId="0" xfId="1" applyNumberFormat="1" applyFont="1"/>
    <xf numFmtId="0" fontId="0" fillId="2" borderId="0" xfId="0" applyFill="1"/>
    <xf numFmtId="0" fontId="0" fillId="3" borderId="0" xfId="0" applyFill="1"/>
    <xf numFmtId="166" fontId="0" fillId="0" borderId="0" xfId="1" applyNumberFormat="1" applyFont="1"/>
    <xf numFmtId="164" fontId="0" fillId="0" borderId="0" xfId="1" applyNumberFormat="1" applyFont="1"/>
    <xf numFmtId="164" fontId="0" fillId="2" borderId="0" xfId="1" applyFont="1" applyFill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4" borderId="0" xfId="0" applyFont="1" applyFill="1" applyBorder="1"/>
    <xf numFmtId="0" fontId="7" fillId="4" borderId="0" xfId="0" applyFont="1" applyFill="1"/>
    <xf numFmtId="0" fontId="3" fillId="0" borderId="20" xfId="0" applyFont="1" applyBorder="1" applyAlignment="1">
      <alignment horizontal="left" vertical="center" wrapText="1"/>
    </xf>
    <xf numFmtId="165" fontId="3" fillId="0" borderId="21" xfId="1" applyNumberFormat="1" applyFont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69" fontId="0" fillId="2" borderId="15" xfId="0" applyNumberFormat="1" applyFill="1" applyBorder="1"/>
    <xf numFmtId="164" fontId="0" fillId="2" borderId="0" xfId="1" applyFont="1" applyFill="1" applyBorder="1"/>
    <xf numFmtId="164" fontId="0" fillId="2" borderId="16" xfId="0" applyNumberFormat="1" applyFill="1" applyBorder="1"/>
    <xf numFmtId="164" fontId="6" fillId="2" borderId="18" xfId="0" applyNumberFormat="1" applyFont="1" applyFill="1" applyBorder="1"/>
    <xf numFmtId="164" fontId="6" fillId="2" borderId="8" xfId="0" applyNumberFormat="1" applyFont="1" applyFill="1" applyBorder="1"/>
    <xf numFmtId="164" fontId="6" fillId="2" borderId="19" xfId="0" applyNumberFormat="1" applyFont="1" applyFill="1" applyBorder="1"/>
    <xf numFmtId="0" fontId="2" fillId="5" borderId="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164" fontId="0" fillId="5" borderId="15" xfId="0" applyNumberFormat="1" applyFill="1" applyBorder="1"/>
    <xf numFmtId="164" fontId="0" fillId="5" borderId="0" xfId="0" applyNumberFormat="1" applyFill="1" applyBorder="1"/>
    <xf numFmtId="164" fontId="0" fillId="5" borderId="16" xfId="0" applyNumberFormat="1" applyFill="1" applyBorder="1"/>
    <xf numFmtId="164" fontId="6" fillId="5" borderId="18" xfId="0" applyNumberFormat="1" applyFont="1" applyFill="1" applyBorder="1"/>
    <xf numFmtId="164" fontId="6" fillId="5" borderId="8" xfId="0" applyNumberFormat="1" applyFont="1" applyFill="1" applyBorder="1"/>
    <xf numFmtId="164" fontId="6" fillId="5" borderId="19" xfId="0" applyNumberFormat="1" applyFont="1" applyFill="1" applyBorder="1"/>
    <xf numFmtId="0" fontId="0" fillId="0" borderId="22" xfId="0" applyBorder="1"/>
    <xf numFmtId="172" fontId="0" fillId="0" borderId="22" xfId="1" applyNumberFormat="1" applyFont="1" applyBorder="1"/>
    <xf numFmtId="164" fontId="0" fillId="0" borderId="22" xfId="1" applyNumberFormat="1" applyFont="1" applyBorder="1"/>
    <xf numFmtId="164" fontId="0" fillId="0" borderId="22" xfId="1" applyFont="1" applyBorder="1"/>
    <xf numFmtId="164" fontId="0" fillId="2" borderId="22" xfId="1" applyFont="1" applyFill="1" applyBorder="1"/>
    <xf numFmtId="164" fontId="0" fillId="3" borderId="22" xfId="1" applyFont="1" applyFill="1" applyBorder="1"/>
    <xf numFmtId="0" fontId="9" fillId="0" borderId="0" xfId="0" applyFont="1"/>
    <xf numFmtId="164" fontId="0" fillId="0" borderId="0" xfId="1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171450</xdr:rowOff>
    </xdr:from>
    <xdr:to>
      <xdr:col>4</xdr:col>
      <xdr:colOff>123825</xdr:colOff>
      <xdr:row>20</xdr:row>
      <xdr:rowOff>153640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00475"/>
          <a:ext cx="3514725" cy="55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topLeftCell="A9" workbookViewId="0">
      <selection activeCell="F16" sqref="F16"/>
    </sheetView>
  </sheetViews>
  <sheetFormatPr baseColWidth="10" defaultRowHeight="15" x14ac:dyDescent="0.25"/>
  <cols>
    <col min="1" max="1" width="24.7109375" customWidth="1"/>
    <col min="2" max="3" width="10.42578125" customWidth="1"/>
    <col min="4" max="4" width="11.42578125" customWidth="1"/>
    <col min="5" max="5" width="10" customWidth="1"/>
    <col min="6" max="6" width="13.140625" customWidth="1"/>
    <col min="7" max="7" width="16.140625" bestFit="1" customWidth="1"/>
    <col min="8" max="8" width="10" customWidth="1"/>
    <col min="9" max="9" width="13.5703125" customWidth="1"/>
    <col min="10" max="10" width="12.42578125" customWidth="1"/>
    <col min="11" max="11" width="9.5703125" bestFit="1" customWidth="1"/>
    <col min="12" max="12" width="9.85546875" bestFit="1" customWidth="1"/>
    <col min="13" max="13" width="13.140625" customWidth="1"/>
    <col min="14" max="14" width="11.85546875" customWidth="1"/>
  </cols>
  <sheetData>
    <row r="1" spans="1:17" ht="15.75" thickBot="1" x14ac:dyDescent="0.3"/>
    <row r="2" spans="1:17" ht="15.75" x14ac:dyDescent="0.25">
      <c r="A2" s="1" t="s">
        <v>0</v>
      </c>
      <c r="B2" s="2">
        <v>4</v>
      </c>
    </row>
    <row r="3" spans="1:17" ht="15.75" x14ac:dyDescent="0.25">
      <c r="A3" s="3" t="s">
        <v>1</v>
      </c>
      <c r="B3" s="4">
        <f>+B2/12</f>
        <v>0.33333333333333331</v>
      </c>
    </row>
    <row r="4" spans="1:17" ht="15.75" x14ac:dyDescent="0.25">
      <c r="A4" s="3" t="s">
        <v>18</v>
      </c>
      <c r="B4" s="5">
        <v>1000</v>
      </c>
      <c r="D4" s="6"/>
      <c r="G4" s="6"/>
      <c r="M4" s="6"/>
      <c r="N4" s="6"/>
    </row>
    <row r="5" spans="1:17" ht="15.75" x14ac:dyDescent="0.25">
      <c r="A5" s="3" t="s">
        <v>3</v>
      </c>
      <c r="B5" s="5" t="s">
        <v>4</v>
      </c>
      <c r="D5" s="6"/>
      <c r="G5" s="15"/>
      <c r="M5" s="6"/>
      <c r="N5" s="6"/>
    </row>
    <row r="6" spans="1:17" ht="94.5" hidden="1" x14ac:dyDescent="0.25">
      <c r="A6" s="7" t="s">
        <v>5</v>
      </c>
      <c r="B6" s="8">
        <v>629.39537065264267</v>
      </c>
      <c r="D6" s="6"/>
      <c r="G6" s="6"/>
      <c r="M6" s="6"/>
      <c r="N6" s="6"/>
    </row>
    <row r="7" spans="1:17" ht="48" thickBot="1" x14ac:dyDescent="0.3">
      <c r="A7" s="39" t="s">
        <v>6</v>
      </c>
      <c r="B7" s="40">
        <f>+(L24/B4-1)*100</f>
        <v>213.89549022801805</v>
      </c>
      <c r="D7" s="6"/>
      <c r="G7" s="6"/>
      <c r="M7" s="6"/>
      <c r="N7" s="6"/>
    </row>
    <row r="8" spans="1:17" ht="43.5" customHeight="1" thickBot="1" x14ac:dyDescent="0.3">
      <c r="B8" s="9"/>
      <c r="D8" s="6"/>
      <c r="E8" s="77" t="s">
        <v>7</v>
      </c>
      <c r="F8" s="78"/>
      <c r="G8" s="79"/>
      <c r="H8" s="80" t="s">
        <v>8</v>
      </c>
      <c r="I8" s="81"/>
      <c r="J8" s="81"/>
      <c r="K8" s="81"/>
      <c r="L8" s="82"/>
      <c r="M8" s="6"/>
      <c r="N8" s="6"/>
    </row>
    <row r="9" spans="1:17" ht="45.75" thickBot="1" x14ac:dyDescent="0.3">
      <c r="A9" s="10" t="s">
        <v>9</v>
      </c>
      <c r="B9" s="10" t="s">
        <v>10</v>
      </c>
      <c r="C9" s="10" t="s">
        <v>11</v>
      </c>
      <c r="D9" s="10" t="s">
        <v>12</v>
      </c>
      <c r="E9" s="41" t="s">
        <v>13</v>
      </c>
      <c r="F9" s="27" t="s">
        <v>3</v>
      </c>
      <c r="G9" s="42" t="s">
        <v>14</v>
      </c>
      <c r="H9" s="55" t="s">
        <v>13</v>
      </c>
      <c r="I9" s="83" t="s">
        <v>3</v>
      </c>
      <c r="J9" s="84"/>
      <c r="K9" s="85"/>
      <c r="L9" s="56" t="s">
        <v>14</v>
      </c>
      <c r="M9" s="10" t="s">
        <v>15</v>
      </c>
      <c r="N9" s="10" t="s">
        <v>16</v>
      </c>
    </row>
    <row r="10" spans="1:17" ht="45" x14ac:dyDescent="0.25">
      <c r="B10" s="12"/>
      <c r="C10" s="12"/>
      <c r="D10" s="12"/>
      <c r="E10" s="43"/>
      <c r="F10" s="44"/>
      <c r="G10" s="45"/>
      <c r="H10" s="57"/>
      <c r="I10" s="58" t="s">
        <v>28</v>
      </c>
      <c r="J10" s="58" t="s">
        <v>29</v>
      </c>
      <c r="K10" s="58" t="s">
        <v>17</v>
      </c>
      <c r="L10" s="59"/>
      <c r="M10" s="12"/>
      <c r="N10" s="12"/>
    </row>
    <row r="11" spans="1:17" x14ac:dyDescent="0.25">
      <c r="A11">
        <v>0</v>
      </c>
      <c r="B11" s="13"/>
      <c r="C11" s="13"/>
      <c r="D11" s="14">
        <v>100</v>
      </c>
      <c r="E11" s="46"/>
      <c r="F11" s="47"/>
      <c r="G11" s="48"/>
      <c r="H11" s="60"/>
      <c r="I11" s="61"/>
      <c r="J11" s="61"/>
      <c r="K11" s="61"/>
      <c r="L11" s="62"/>
      <c r="M11" s="14">
        <f>+B4/D11</f>
        <v>10</v>
      </c>
      <c r="N11" s="14">
        <f>+B4</f>
        <v>1000</v>
      </c>
    </row>
    <row r="12" spans="1:17" x14ac:dyDescent="0.25">
      <c r="A12">
        <v>1</v>
      </c>
      <c r="B12" s="17">
        <v>20</v>
      </c>
      <c r="C12" s="14">
        <f>+B2/12</f>
        <v>0.33333333333333331</v>
      </c>
      <c r="D12" s="14">
        <f t="shared" ref="D12:D23" si="0">+D11*(1+B12/100)</f>
        <v>120</v>
      </c>
      <c r="E12" s="49">
        <f t="shared" ref="E12:E23" si="1">+M11*C12/100</f>
        <v>3.3333333333333333E-2</v>
      </c>
      <c r="F12" s="50">
        <f t="shared" ref="F12:F23" si="2">-PMT(C12/100,12-A11,M11)-E12</f>
        <v>0.81816570862224591</v>
      </c>
      <c r="G12" s="51">
        <f t="shared" ref="G12:G23" si="3">+E12+F12</f>
        <v>0.85149904195557924</v>
      </c>
      <c r="H12" s="63">
        <f t="shared" ref="H12:H23" si="4">+E12*D12</f>
        <v>4</v>
      </c>
      <c r="I12" s="64">
        <f t="shared" ref="I12:I23" si="5">(PPMT($B$2/100/12,A12,12,$B$4))*-1</f>
        <v>81.81657086222458</v>
      </c>
      <c r="J12" s="64">
        <f>+F12*D12-I12</f>
        <v>16.36331417244493</v>
      </c>
      <c r="K12" s="64">
        <f t="shared" ref="K12:K23" si="6">+F12*D12</f>
        <v>98.17988503466951</v>
      </c>
      <c r="L12" s="65">
        <f t="shared" ref="L12:L23" si="7">+H12+K12</f>
        <v>102.17988503466951</v>
      </c>
      <c r="M12" s="14">
        <f t="shared" ref="M12:M23" si="8">+M11-F12</f>
        <v>9.1818342913777542</v>
      </c>
      <c r="N12" s="14">
        <f t="shared" ref="N12:N23" si="9">+M12*D12</f>
        <v>1101.8201149653305</v>
      </c>
    </row>
    <row r="13" spans="1:17" x14ac:dyDescent="0.25">
      <c r="A13">
        <f t="shared" ref="A13:A23" si="10">1+A12</f>
        <v>2</v>
      </c>
      <c r="B13" s="17">
        <v>20</v>
      </c>
      <c r="C13" s="14">
        <f t="shared" ref="C13:C23" si="11">+C12</f>
        <v>0.33333333333333331</v>
      </c>
      <c r="D13" s="14">
        <f t="shared" si="0"/>
        <v>144</v>
      </c>
      <c r="E13" s="49">
        <f t="shared" si="1"/>
        <v>3.0606114304592511E-2</v>
      </c>
      <c r="F13" s="50">
        <f t="shared" si="2"/>
        <v>0.82089292765098665</v>
      </c>
      <c r="G13" s="51">
        <f t="shared" si="3"/>
        <v>0.85149904195557913</v>
      </c>
      <c r="H13" s="63">
        <f t="shared" si="4"/>
        <v>4.4072804598613216</v>
      </c>
      <c r="I13" s="64">
        <f t="shared" si="5"/>
        <v>82.089292765098676</v>
      </c>
      <c r="J13" s="64">
        <f t="shared" ref="J13:J23" si="12">+F13*D13-I13</f>
        <v>36.119288816643405</v>
      </c>
      <c r="K13" s="64">
        <f t="shared" si="6"/>
        <v>118.20858158174208</v>
      </c>
      <c r="L13" s="65">
        <f t="shared" si="7"/>
        <v>122.61586204160341</v>
      </c>
      <c r="M13" s="14">
        <f t="shared" si="8"/>
        <v>8.3609413637267682</v>
      </c>
      <c r="N13" s="14">
        <f t="shared" si="9"/>
        <v>1203.9755563766546</v>
      </c>
    </row>
    <row r="14" spans="1:17" x14ac:dyDescent="0.25">
      <c r="A14">
        <f t="shared" si="10"/>
        <v>3</v>
      </c>
      <c r="B14" s="17">
        <v>20</v>
      </c>
      <c r="C14" s="14">
        <f t="shared" si="11"/>
        <v>0.33333333333333331</v>
      </c>
      <c r="D14" s="14">
        <f t="shared" si="0"/>
        <v>172.79999999999998</v>
      </c>
      <c r="E14" s="49">
        <f t="shared" si="1"/>
        <v>2.7869804545755893E-2</v>
      </c>
      <c r="F14" s="50">
        <f t="shared" si="2"/>
        <v>0.82362923740982341</v>
      </c>
      <c r="G14" s="51">
        <f t="shared" si="3"/>
        <v>0.85149904195557935</v>
      </c>
      <c r="H14" s="63">
        <f t="shared" si="4"/>
        <v>4.8159022255066182</v>
      </c>
      <c r="I14" s="64">
        <f t="shared" si="5"/>
        <v>82.362923740982325</v>
      </c>
      <c r="J14" s="64">
        <f t="shared" si="12"/>
        <v>59.960208483435139</v>
      </c>
      <c r="K14" s="64">
        <f t="shared" si="6"/>
        <v>142.32313222441746</v>
      </c>
      <c r="L14" s="65">
        <f t="shared" si="7"/>
        <v>147.13903444992408</v>
      </c>
      <c r="M14" s="14">
        <f t="shared" si="8"/>
        <v>7.5373121263169445</v>
      </c>
      <c r="N14" s="14">
        <f t="shared" si="9"/>
        <v>1302.4475354275678</v>
      </c>
    </row>
    <row r="15" spans="1:17" x14ac:dyDescent="0.25">
      <c r="A15">
        <f t="shared" si="10"/>
        <v>4</v>
      </c>
      <c r="B15" s="17">
        <v>20</v>
      </c>
      <c r="C15" s="14">
        <f t="shared" si="11"/>
        <v>0.33333333333333331</v>
      </c>
      <c r="D15" s="14">
        <f t="shared" si="0"/>
        <v>207.35999999999999</v>
      </c>
      <c r="E15" s="49">
        <f t="shared" si="1"/>
        <v>2.5124373754389816E-2</v>
      </c>
      <c r="F15" s="50">
        <f t="shared" si="2"/>
        <v>0.82637466820118943</v>
      </c>
      <c r="G15" s="51">
        <f t="shared" si="3"/>
        <v>0.85149904195557924</v>
      </c>
      <c r="H15" s="63">
        <f t="shared" si="4"/>
        <v>5.2097901417102719</v>
      </c>
      <c r="I15" s="64">
        <f t="shared" si="5"/>
        <v>82.637466820118945</v>
      </c>
      <c r="J15" s="64">
        <f t="shared" si="12"/>
        <v>88.719584378079688</v>
      </c>
      <c r="K15" s="64">
        <f t="shared" si="6"/>
        <v>171.35705119819863</v>
      </c>
      <c r="L15" s="65">
        <f t="shared" si="7"/>
        <v>176.5668413399089</v>
      </c>
      <c r="M15" s="14">
        <f t="shared" si="8"/>
        <v>6.7109374581157546</v>
      </c>
      <c r="N15" s="14">
        <f t="shared" si="9"/>
        <v>1391.5799913148828</v>
      </c>
      <c r="O15" s="16"/>
      <c r="P15" s="14"/>
      <c r="Q15" s="14"/>
    </row>
    <row r="16" spans="1:17" x14ac:dyDescent="0.25">
      <c r="A16">
        <f t="shared" si="10"/>
        <v>5</v>
      </c>
      <c r="B16" s="17">
        <v>15</v>
      </c>
      <c r="C16" s="14">
        <f t="shared" si="11"/>
        <v>0.33333333333333331</v>
      </c>
      <c r="D16" s="14">
        <f t="shared" si="0"/>
        <v>238.46399999999997</v>
      </c>
      <c r="E16" s="49">
        <f t="shared" si="1"/>
        <v>2.2369791527052513E-2</v>
      </c>
      <c r="F16" s="50">
        <f t="shared" si="2"/>
        <v>0.82912925042852659</v>
      </c>
      <c r="G16" s="51">
        <f t="shared" si="3"/>
        <v>0.85149904195557913</v>
      </c>
      <c r="H16" s="63">
        <f t="shared" si="4"/>
        <v>5.3343899667070493</v>
      </c>
      <c r="I16" s="64">
        <f t="shared" si="5"/>
        <v>82.912925042852677</v>
      </c>
      <c r="J16" s="64">
        <f t="shared" si="12"/>
        <v>114.80455253133546</v>
      </c>
      <c r="K16" s="64">
        <f t="shared" si="6"/>
        <v>197.71747757418814</v>
      </c>
      <c r="L16" s="65">
        <f t="shared" si="7"/>
        <v>203.05186754089519</v>
      </c>
      <c r="M16" s="14">
        <f t="shared" si="8"/>
        <v>5.8818082076872278</v>
      </c>
      <c r="N16" s="14">
        <f t="shared" si="9"/>
        <v>1402.5995124379269</v>
      </c>
    </row>
    <row r="17" spans="1:14" x14ac:dyDescent="0.25">
      <c r="A17">
        <f t="shared" si="10"/>
        <v>6</v>
      </c>
      <c r="B17" s="17">
        <v>15</v>
      </c>
      <c r="C17" s="14">
        <f t="shared" si="11"/>
        <v>0.33333333333333331</v>
      </c>
      <c r="D17" s="14">
        <f t="shared" si="0"/>
        <v>274.23359999999997</v>
      </c>
      <c r="E17" s="49">
        <f t="shared" si="1"/>
        <v>1.9606027358957424E-2</v>
      </c>
      <c r="F17" s="50">
        <f t="shared" si="2"/>
        <v>0.83189301459662179</v>
      </c>
      <c r="G17" s="51">
        <f t="shared" si="3"/>
        <v>0.85149904195557924</v>
      </c>
      <c r="H17" s="63">
        <f t="shared" si="4"/>
        <v>5.3766314643453859</v>
      </c>
      <c r="I17" s="64">
        <f t="shared" si="5"/>
        <v>83.189301459662175</v>
      </c>
      <c r="J17" s="64">
        <f t="shared" si="12"/>
        <v>144.94371474802193</v>
      </c>
      <c r="K17" s="64">
        <f t="shared" si="6"/>
        <v>228.13301620768411</v>
      </c>
      <c r="L17" s="65">
        <f t="shared" si="7"/>
        <v>233.5096476720295</v>
      </c>
      <c r="M17" s="14">
        <f t="shared" si="8"/>
        <v>5.0499151930906061</v>
      </c>
      <c r="N17" s="14">
        <f t="shared" si="9"/>
        <v>1384.8564230959319</v>
      </c>
    </row>
    <row r="18" spans="1:14" x14ac:dyDescent="0.25">
      <c r="A18">
        <f t="shared" si="10"/>
        <v>7</v>
      </c>
      <c r="B18" s="17">
        <v>15</v>
      </c>
      <c r="C18" s="14">
        <f t="shared" si="11"/>
        <v>0.33333333333333331</v>
      </c>
      <c r="D18" s="14">
        <f t="shared" si="0"/>
        <v>315.36863999999991</v>
      </c>
      <c r="E18" s="49">
        <f t="shared" si="1"/>
        <v>1.6833050643635352E-2</v>
      </c>
      <c r="F18" s="50">
        <f t="shared" si="2"/>
        <v>0.83466599131194386</v>
      </c>
      <c r="G18" s="51">
        <f t="shared" si="3"/>
        <v>0.85149904195557924</v>
      </c>
      <c r="H18" s="63">
        <f t="shared" si="4"/>
        <v>5.3086162885344041</v>
      </c>
      <c r="I18" s="64">
        <f t="shared" si="5"/>
        <v>83.466599131194386</v>
      </c>
      <c r="J18" s="64">
        <f t="shared" si="12"/>
        <v>179.76087940310506</v>
      </c>
      <c r="K18" s="64">
        <f t="shared" si="6"/>
        <v>263.22747853429945</v>
      </c>
      <c r="L18" s="65">
        <f t="shared" si="7"/>
        <v>268.53609482283383</v>
      </c>
      <c r="M18" s="14">
        <f t="shared" si="8"/>
        <v>4.2152492017786622</v>
      </c>
      <c r="N18" s="14">
        <f t="shared" si="9"/>
        <v>1329.3574080260219</v>
      </c>
    </row>
    <row r="19" spans="1:14" x14ac:dyDescent="0.25">
      <c r="A19">
        <f t="shared" si="10"/>
        <v>8</v>
      </c>
      <c r="B19" s="17">
        <v>15</v>
      </c>
      <c r="C19" s="14">
        <f t="shared" si="11"/>
        <v>0.33333333333333331</v>
      </c>
      <c r="D19" s="14">
        <f t="shared" si="0"/>
        <v>362.67393599999986</v>
      </c>
      <c r="E19" s="49">
        <f t="shared" si="1"/>
        <v>1.405083067259554E-2</v>
      </c>
      <c r="F19" s="50">
        <f t="shared" si="2"/>
        <v>0.83744821128298363</v>
      </c>
      <c r="G19" s="51">
        <f t="shared" si="3"/>
        <v>0.85149904195557913</v>
      </c>
      <c r="H19" s="63">
        <f t="shared" si="4"/>
        <v>5.0958700640997501</v>
      </c>
      <c r="I19" s="64">
        <f t="shared" si="5"/>
        <v>83.744821128298355</v>
      </c>
      <c r="J19" s="64">
        <f t="shared" si="12"/>
        <v>219.97581785386083</v>
      </c>
      <c r="K19" s="64">
        <f t="shared" si="6"/>
        <v>303.72063898215919</v>
      </c>
      <c r="L19" s="65">
        <f t="shared" si="7"/>
        <v>308.81650904625894</v>
      </c>
      <c r="M19" s="14">
        <f t="shared" si="8"/>
        <v>3.3778009904956785</v>
      </c>
      <c r="N19" s="14">
        <f t="shared" si="9"/>
        <v>1225.0403802477658</v>
      </c>
    </row>
    <row r="20" spans="1:14" x14ac:dyDescent="0.25">
      <c r="A20">
        <f t="shared" si="10"/>
        <v>9</v>
      </c>
      <c r="B20" s="17">
        <v>10</v>
      </c>
      <c r="C20" s="14">
        <f t="shared" si="11"/>
        <v>0.33333333333333331</v>
      </c>
      <c r="D20" s="14">
        <f t="shared" si="0"/>
        <v>398.94132959999985</v>
      </c>
      <c r="E20" s="49">
        <f t="shared" si="1"/>
        <v>1.1259336634985595E-2</v>
      </c>
      <c r="F20" s="50">
        <f t="shared" si="2"/>
        <v>0.84023970532059356</v>
      </c>
      <c r="G20" s="51">
        <f t="shared" si="3"/>
        <v>0.85149904195557913</v>
      </c>
      <c r="H20" s="63">
        <f t="shared" si="4"/>
        <v>4.4918147275751412</v>
      </c>
      <c r="I20" s="64">
        <f t="shared" si="5"/>
        <v>84.023970532059366</v>
      </c>
      <c r="J20" s="64">
        <f t="shared" si="12"/>
        <v>251.18237469125029</v>
      </c>
      <c r="K20" s="64">
        <f t="shared" si="6"/>
        <v>335.20634522330965</v>
      </c>
      <c r="L20" s="65">
        <f t="shared" si="7"/>
        <v>339.69815995088481</v>
      </c>
      <c r="M20" s="14">
        <f t="shared" si="8"/>
        <v>2.5375612851750851</v>
      </c>
      <c r="N20" s="14">
        <f t="shared" si="9"/>
        <v>1012.3380730492328</v>
      </c>
    </row>
    <row r="21" spans="1:14" x14ac:dyDescent="0.25">
      <c r="A21">
        <f t="shared" si="10"/>
        <v>10</v>
      </c>
      <c r="B21" s="17">
        <v>10</v>
      </c>
      <c r="C21" s="14">
        <f t="shared" si="11"/>
        <v>0.33333333333333331</v>
      </c>
      <c r="D21" s="14">
        <f t="shared" si="0"/>
        <v>438.83546255999988</v>
      </c>
      <c r="E21" s="49">
        <f t="shared" si="1"/>
        <v>8.4585376172502842E-3</v>
      </c>
      <c r="F21" s="50">
        <f t="shared" si="2"/>
        <v>0.843040504338329</v>
      </c>
      <c r="G21" s="51">
        <f t="shared" si="3"/>
        <v>0.85149904195557924</v>
      </c>
      <c r="H21" s="63">
        <f t="shared" si="4"/>
        <v>3.7119062678471879</v>
      </c>
      <c r="I21" s="64">
        <f t="shared" si="5"/>
        <v>84.304050433832884</v>
      </c>
      <c r="J21" s="64">
        <f t="shared" si="12"/>
        <v>285.65201924429334</v>
      </c>
      <c r="K21" s="64">
        <f t="shared" si="6"/>
        <v>369.9560696781262</v>
      </c>
      <c r="L21" s="65">
        <f t="shared" si="7"/>
        <v>373.66797594597341</v>
      </c>
      <c r="M21" s="14">
        <f t="shared" si="8"/>
        <v>1.6945207808367559</v>
      </c>
      <c r="N21" s="14">
        <f t="shared" si="9"/>
        <v>743.61581067603004</v>
      </c>
    </row>
    <row r="22" spans="1:14" x14ac:dyDescent="0.25">
      <c r="A22">
        <f t="shared" si="10"/>
        <v>11</v>
      </c>
      <c r="B22" s="17">
        <v>10</v>
      </c>
      <c r="C22" s="14">
        <f t="shared" si="11"/>
        <v>0.33333333333333331</v>
      </c>
      <c r="D22" s="14">
        <f t="shared" si="0"/>
        <v>482.71900881599993</v>
      </c>
      <c r="E22" s="49">
        <f t="shared" si="1"/>
        <v>5.6484026027891869E-3</v>
      </c>
      <c r="F22" s="50">
        <f t="shared" si="2"/>
        <v>0.84585063935278992</v>
      </c>
      <c r="G22" s="51">
        <f t="shared" si="3"/>
        <v>0.85149904195557913</v>
      </c>
      <c r="H22" s="63">
        <f t="shared" si="4"/>
        <v>2.7265913058121103</v>
      </c>
      <c r="I22" s="64">
        <f t="shared" si="5"/>
        <v>84.585063935278995</v>
      </c>
      <c r="J22" s="64">
        <f t="shared" si="12"/>
        <v>323.72311829947961</v>
      </c>
      <c r="K22" s="64">
        <f t="shared" si="6"/>
        <v>408.30818223475859</v>
      </c>
      <c r="L22" s="65">
        <f t="shared" si="7"/>
        <v>411.03477354057071</v>
      </c>
      <c r="M22" s="14">
        <f t="shared" si="8"/>
        <v>0.84867014148396602</v>
      </c>
      <c r="N22" s="14">
        <f t="shared" si="9"/>
        <v>409.66920950887447</v>
      </c>
    </row>
    <row r="23" spans="1:14" x14ac:dyDescent="0.25">
      <c r="A23">
        <f t="shared" si="10"/>
        <v>12</v>
      </c>
      <c r="B23" s="17">
        <v>10</v>
      </c>
      <c r="C23" s="14">
        <f t="shared" si="11"/>
        <v>0.33333333333333331</v>
      </c>
      <c r="D23" s="14">
        <f t="shared" si="0"/>
        <v>530.99090969759993</v>
      </c>
      <c r="E23" s="49">
        <f t="shared" si="1"/>
        <v>2.8289004716132199E-3</v>
      </c>
      <c r="F23" s="50">
        <f t="shared" si="2"/>
        <v>0.84867014148396602</v>
      </c>
      <c r="G23" s="51">
        <f t="shared" si="3"/>
        <v>0.85149904195557924</v>
      </c>
      <c r="H23" s="63">
        <f t="shared" si="4"/>
        <v>1.5021204348658732</v>
      </c>
      <c r="I23" s="64">
        <f t="shared" si="5"/>
        <v>84.867014148396592</v>
      </c>
      <c r="J23" s="64">
        <f t="shared" si="12"/>
        <v>365.76911631136534</v>
      </c>
      <c r="K23" s="64">
        <f t="shared" si="6"/>
        <v>450.63613045976194</v>
      </c>
      <c r="L23" s="65">
        <f t="shared" si="7"/>
        <v>452.13825089462784</v>
      </c>
      <c r="M23" s="14">
        <f t="shared" si="8"/>
        <v>0</v>
      </c>
      <c r="N23" s="14">
        <f t="shared" si="9"/>
        <v>0</v>
      </c>
    </row>
    <row r="24" spans="1:14" ht="15.75" thickBot="1" x14ac:dyDescent="0.3">
      <c r="A24" s="18"/>
      <c r="B24" s="18"/>
      <c r="C24" s="18"/>
      <c r="D24" s="19"/>
      <c r="E24" s="52">
        <f t="shared" ref="E24:L24" si="13">+SUM(E12:E23)</f>
        <v>0.2179885034669507</v>
      </c>
      <c r="F24" s="53">
        <f t="shared" si="13"/>
        <v>10</v>
      </c>
      <c r="G24" s="54">
        <f t="shared" si="13"/>
        <v>10.21798850346695</v>
      </c>
      <c r="H24" s="66">
        <f t="shared" si="13"/>
        <v>51.980913346865115</v>
      </c>
      <c r="I24" s="67">
        <f t="shared" si="13"/>
        <v>999.99999999999989</v>
      </c>
      <c r="J24" s="67">
        <f t="shared" si="13"/>
        <v>2086.973988933315</v>
      </c>
      <c r="K24" s="67">
        <f t="shared" si="13"/>
        <v>3086.973988933315</v>
      </c>
      <c r="L24" s="68">
        <f t="shared" si="13"/>
        <v>3138.9549022801802</v>
      </c>
      <c r="M24" s="19"/>
      <c r="N24" s="19"/>
    </row>
    <row r="25" spans="1:14" x14ac:dyDescent="0.25">
      <c r="D25" s="20"/>
      <c r="E25" s="21"/>
    </row>
    <row r="26" spans="1:14" x14ac:dyDescent="0.25">
      <c r="F26" s="20"/>
      <c r="H26" s="14"/>
      <c r="I26" s="14"/>
      <c r="J26" s="14"/>
    </row>
    <row r="28" spans="1:14" x14ac:dyDescent="0.25">
      <c r="D28" s="14"/>
    </row>
    <row r="30" spans="1:14" x14ac:dyDescent="0.25">
      <c r="F30" s="15"/>
      <c r="H30" s="14"/>
      <c r="I30" s="14"/>
      <c r="J30" s="14"/>
    </row>
    <row r="31" spans="1:14" x14ac:dyDescent="0.25">
      <c r="B31" s="22"/>
      <c r="F31" s="15"/>
    </row>
    <row r="32" spans="1:14" x14ac:dyDescent="0.25">
      <c r="F32" s="15"/>
    </row>
    <row r="33" spans="6:6" x14ac:dyDescent="0.25">
      <c r="F33" s="15"/>
    </row>
    <row r="34" spans="6:6" x14ac:dyDescent="0.25">
      <c r="F34" s="15"/>
    </row>
    <row r="35" spans="6:6" x14ac:dyDescent="0.25">
      <c r="F35" s="15"/>
    </row>
    <row r="36" spans="6:6" x14ac:dyDescent="0.25">
      <c r="F36" s="15"/>
    </row>
    <row r="37" spans="6:6" x14ac:dyDescent="0.25">
      <c r="F37" s="15"/>
    </row>
    <row r="38" spans="6:6" x14ac:dyDescent="0.25">
      <c r="F38" s="15"/>
    </row>
    <row r="39" spans="6:6" x14ac:dyDescent="0.25">
      <c r="F39" s="15"/>
    </row>
    <row r="40" spans="6:6" x14ac:dyDescent="0.25">
      <c r="F40" s="15"/>
    </row>
    <row r="41" spans="6:6" x14ac:dyDescent="0.25">
      <c r="F41" s="15"/>
    </row>
  </sheetData>
  <mergeCells count="3">
    <mergeCell ref="E8:G8"/>
    <mergeCell ref="H8:L8"/>
    <mergeCell ref="I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F25" sqref="F25"/>
    </sheetView>
  </sheetViews>
  <sheetFormatPr baseColWidth="10" defaultRowHeight="15" x14ac:dyDescent="0.25"/>
  <cols>
    <col min="2" max="2" width="19" customWidth="1"/>
    <col min="3" max="3" width="16" bestFit="1" customWidth="1"/>
    <col min="4" max="4" width="15.85546875" customWidth="1"/>
    <col min="5" max="5" width="15.28515625" bestFit="1" customWidth="1"/>
    <col min="6" max="6" width="14.85546875" customWidth="1"/>
    <col min="7" max="7" width="15.28515625" bestFit="1" customWidth="1"/>
    <col min="8" max="9" width="16.85546875" bestFit="1" customWidth="1"/>
    <col min="10" max="10" width="15.28515625" bestFit="1" customWidth="1"/>
    <col min="11" max="11" width="13.140625" bestFit="1" customWidth="1"/>
    <col min="12" max="13" width="16.85546875" bestFit="1" customWidth="1"/>
  </cols>
  <sheetData>
    <row r="1" spans="1:13" ht="15.6" x14ac:dyDescent="0.3">
      <c r="B1" s="1" t="s">
        <v>0</v>
      </c>
      <c r="C1" s="23">
        <v>0.06</v>
      </c>
    </row>
    <row r="2" spans="1:13" ht="15.6" x14ac:dyDescent="0.3">
      <c r="B2" s="3" t="s">
        <v>19</v>
      </c>
      <c r="C2" s="24">
        <f>+C1/360</f>
        <v>1.6666666666666666E-4</v>
      </c>
    </row>
    <row r="3" spans="1:13" ht="16.149999999999999" thickBot="1" x14ac:dyDescent="0.35">
      <c r="B3" s="25" t="s">
        <v>2</v>
      </c>
      <c r="C3" s="26">
        <v>1000000000</v>
      </c>
    </row>
    <row r="4" spans="1:13" ht="14.45" x14ac:dyDescent="0.3">
      <c r="E4" s="20"/>
    </row>
    <row r="5" spans="1:13" ht="16.5" thickBot="1" x14ac:dyDescent="0.3">
      <c r="B5" s="37" t="s">
        <v>32</v>
      </c>
      <c r="C5" s="38"/>
    </row>
    <row r="6" spans="1:13" ht="16.149999999999999" thickBot="1" x14ac:dyDescent="0.35">
      <c r="E6" s="86" t="s">
        <v>20</v>
      </c>
      <c r="F6" s="87"/>
      <c r="G6" s="87"/>
      <c r="H6" s="87"/>
      <c r="I6" s="88"/>
    </row>
    <row r="7" spans="1:13" ht="45.75" thickBot="1" x14ac:dyDescent="0.3">
      <c r="B7" s="35" t="s">
        <v>21</v>
      </c>
      <c r="C7" s="36" t="s">
        <v>27</v>
      </c>
      <c r="D7" s="36" t="s">
        <v>22</v>
      </c>
      <c r="E7" s="11" t="s">
        <v>23</v>
      </c>
      <c r="F7" s="27" t="s">
        <v>24</v>
      </c>
      <c r="G7" s="27" t="s">
        <v>25</v>
      </c>
      <c r="H7" s="11" t="s">
        <v>26</v>
      </c>
      <c r="I7" s="28" t="s">
        <v>14</v>
      </c>
    </row>
    <row r="8" spans="1:13" ht="14.45" x14ac:dyDescent="0.3">
      <c r="B8">
        <v>1</v>
      </c>
      <c r="C8" s="29"/>
      <c r="D8" s="29">
        <v>100</v>
      </c>
      <c r="F8" s="30"/>
      <c r="G8" s="30"/>
      <c r="I8" s="31"/>
      <c r="J8" s="32"/>
    </row>
    <row r="9" spans="1:13" ht="14.45" x14ac:dyDescent="0.3">
      <c r="B9">
        <f t="shared" ref="B9:B15" si="0">1+B8</f>
        <v>2</v>
      </c>
      <c r="C9" s="29">
        <v>2</v>
      </c>
      <c r="D9" s="33">
        <f t="shared" ref="D9:D15" si="1">+D8*(1+C9/100)</f>
        <v>102</v>
      </c>
      <c r="E9" s="15">
        <f t="shared" ref="E9:E15" si="2">+IF(D9&lt;$D$8,$C$3*$C$2*B9,((D9/$D$8)*(1+$C$2*(B9-$B$8))-1)*$C$3)</f>
        <v>20170000.000000022</v>
      </c>
      <c r="F9" s="34">
        <f t="shared" ref="F9:F15" si="3">+IF(D9&lt;$D$8,$C$3*$C$2*B9,($C$3/$D$8)*D9*$C$2*(B9-$B$8))</f>
        <v>170000</v>
      </c>
      <c r="G9" s="34">
        <f t="shared" ref="G9:G15" si="4">+IF(D9&lt;$D$8,0,$C$3*(D9/$D$8-1))</f>
        <v>20000000.000000019</v>
      </c>
      <c r="I9" s="31"/>
    </row>
    <row r="10" spans="1:13" x14ac:dyDescent="0.25">
      <c r="B10">
        <f t="shared" si="0"/>
        <v>3</v>
      </c>
      <c r="C10" s="29">
        <v>1</v>
      </c>
      <c r="D10" s="33">
        <f t="shared" si="1"/>
        <v>103.02</v>
      </c>
      <c r="E10" s="15">
        <f t="shared" si="2"/>
        <v>30543400</v>
      </c>
      <c r="F10" s="34">
        <f t="shared" si="3"/>
        <v>343400</v>
      </c>
      <c r="G10" s="34">
        <f t="shared" si="4"/>
        <v>30200000.000000004</v>
      </c>
      <c r="I10" s="31"/>
    </row>
    <row r="11" spans="1:13" x14ac:dyDescent="0.25">
      <c r="B11">
        <f t="shared" si="0"/>
        <v>4</v>
      </c>
      <c r="C11" s="29">
        <v>-3</v>
      </c>
      <c r="D11" s="33">
        <f t="shared" si="1"/>
        <v>99.929399999999987</v>
      </c>
      <c r="E11" s="15">
        <f t="shared" si="2"/>
        <v>666666.66666666663</v>
      </c>
      <c r="F11" s="34">
        <f t="shared" si="3"/>
        <v>666666.66666666663</v>
      </c>
      <c r="G11" s="34">
        <f t="shared" si="4"/>
        <v>0</v>
      </c>
      <c r="I11" s="31"/>
    </row>
    <row r="12" spans="1:13" x14ac:dyDescent="0.25">
      <c r="B12">
        <f t="shared" si="0"/>
        <v>5</v>
      </c>
      <c r="C12" s="29">
        <v>3</v>
      </c>
      <c r="D12" s="33">
        <f t="shared" si="1"/>
        <v>102.92728199999999</v>
      </c>
      <c r="E12" s="15">
        <f t="shared" si="2"/>
        <v>29959001.879999779</v>
      </c>
      <c r="F12" s="34">
        <f t="shared" si="3"/>
        <v>686181.87999999989</v>
      </c>
      <c r="G12" s="34">
        <f t="shared" si="4"/>
        <v>29272819.999999866</v>
      </c>
      <c r="I12" s="31"/>
    </row>
    <row r="13" spans="1:13" x14ac:dyDescent="0.25">
      <c r="A13" t="s">
        <v>30</v>
      </c>
      <c r="B13">
        <f t="shared" si="0"/>
        <v>6</v>
      </c>
      <c r="C13" s="29">
        <v>0</v>
      </c>
      <c r="D13" s="33">
        <f t="shared" si="1"/>
        <v>102.92728199999999</v>
      </c>
      <c r="E13" s="15">
        <f t="shared" si="2"/>
        <v>30130547.349999759</v>
      </c>
      <c r="F13" s="34">
        <f t="shared" si="3"/>
        <v>857727.34999999986</v>
      </c>
      <c r="G13" s="34">
        <f t="shared" si="4"/>
        <v>29272819.999999866</v>
      </c>
      <c r="I13" s="31"/>
    </row>
    <row r="14" spans="1:13" x14ac:dyDescent="0.25">
      <c r="A14" t="s">
        <v>31</v>
      </c>
      <c r="B14">
        <f t="shared" si="0"/>
        <v>7</v>
      </c>
      <c r="C14" s="29">
        <v>0</v>
      </c>
      <c r="D14" s="33">
        <f t="shared" si="1"/>
        <v>102.92728199999999</v>
      </c>
      <c r="E14" s="15">
        <f t="shared" si="2"/>
        <v>30302092.819999736</v>
      </c>
      <c r="F14" s="34">
        <f t="shared" si="3"/>
        <v>1029272.8199999998</v>
      </c>
      <c r="G14" s="34">
        <f t="shared" si="4"/>
        <v>29272819.999999866</v>
      </c>
      <c r="I14" s="31"/>
    </row>
    <row r="15" spans="1:13" ht="15.75" thickBot="1" x14ac:dyDescent="0.3">
      <c r="A15" s="69"/>
      <c r="B15" s="69">
        <f t="shared" si="0"/>
        <v>8</v>
      </c>
      <c r="C15" s="70">
        <v>2</v>
      </c>
      <c r="D15" s="71">
        <f t="shared" si="1"/>
        <v>104.98582764</v>
      </c>
      <c r="E15" s="72">
        <f t="shared" si="2"/>
        <v>51083111.055800103</v>
      </c>
      <c r="F15" s="73">
        <f t="shared" si="3"/>
        <v>1224834.6557999998</v>
      </c>
      <c r="G15" s="73">
        <f t="shared" si="4"/>
        <v>49858276.399999954</v>
      </c>
      <c r="H15" s="72">
        <f>+C3</f>
        <v>1000000000</v>
      </c>
      <c r="I15" s="74">
        <f>+H15+E15</f>
        <v>1051083111.0558001</v>
      </c>
      <c r="J15" s="20">
        <f>+I15/C3-1</f>
        <v>5.1083111055800101E-2</v>
      </c>
      <c r="K15" s="22"/>
      <c r="L15" s="15"/>
      <c r="M15" s="15"/>
    </row>
    <row r="16" spans="1:13" ht="15.75" thickTop="1" x14ac:dyDescent="0.25"/>
    <row r="17" spans="1:5" x14ac:dyDescent="0.25">
      <c r="D17" s="6"/>
      <c r="E17" s="76"/>
    </row>
    <row r="22" spans="1:5" x14ac:dyDescent="0.25">
      <c r="A22" s="75" t="s">
        <v>34</v>
      </c>
      <c r="B22" s="75" t="s">
        <v>33</v>
      </c>
      <c r="C22" s="75"/>
      <c r="D22" s="75"/>
    </row>
    <row r="23" spans="1:5" x14ac:dyDescent="0.25">
      <c r="A23" s="75" t="s">
        <v>35</v>
      </c>
      <c r="B23" s="75" t="s">
        <v>36</v>
      </c>
      <c r="C23" s="75"/>
      <c r="D23" s="75"/>
    </row>
  </sheetData>
  <mergeCells count="1">
    <mergeCell ref="E6:I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en cuotas</vt:lpstr>
      <vt:lpstr>ejercicio inyección</vt:lpstr>
      <vt:lpstr>Hoja3</vt:lpstr>
    </vt:vector>
  </TitlesOfParts>
  <Company>Banco Central de Venezuela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LP400123</dc:creator>
  <cp:lastModifiedBy>Edgar Sandoval</cp:lastModifiedBy>
  <dcterms:created xsi:type="dcterms:W3CDTF">2019-09-10T13:54:49Z</dcterms:created>
  <dcterms:modified xsi:type="dcterms:W3CDTF">2019-11-18T21:38:42Z</dcterms:modified>
</cp:coreProperties>
</file>