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dgar.sandoval\Desktop\"/>
    </mc:Choice>
  </mc:AlternateContent>
  <bookViews>
    <workbookView xWindow="0" yWindow="0" windowWidth="1536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5" i="1" l="1"/>
  <c r="K25" i="1"/>
  <c r="J25" i="1"/>
  <c r="H25" i="1"/>
  <c r="I25" i="1"/>
  <c r="C11" i="1" l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10" i="1"/>
</calcChain>
</file>

<file path=xl/sharedStrings.xml><?xml version="1.0" encoding="utf-8"?>
<sst xmlns="http://schemas.openxmlformats.org/spreadsheetml/2006/main" count="24" uniqueCount="20">
  <si>
    <t>Tasa base anual</t>
  </si>
  <si>
    <t>DIAS</t>
  </si>
  <si>
    <t>DEVENGO DIARIO</t>
  </si>
  <si>
    <t>Capital inicial mm Bs.</t>
  </si>
  <si>
    <t>Amortización</t>
  </si>
  <si>
    <t>cuotas</t>
  </si>
  <si>
    <t xml:space="preserve">Tasa de rendimiento en un mes </t>
  </si>
  <si>
    <t>Flujo en Unidades de valor (UVCC)</t>
  </si>
  <si>
    <t>Flujo en Bs.</t>
  </si>
  <si>
    <t>Var % TC t</t>
  </si>
  <si>
    <t>Valor del "idi" en bolívares</t>
  </si>
  <si>
    <t>Pago de interés</t>
  </si>
  <si>
    <t>Pago total</t>
  </si>
  <si>
    <t>Saldo en final en  MM UVCC</t>
  </si>
  <si>
    <t>Saldo final en MM Bs.</t>
  </si>
  <si>
    <t>Amortización cap inicial</t>
  </si>
  <si>
    <t>Componente de actualización</t>
  </si>
  <si>
    <t>Total</t>
  </si>
  <si>
    <t>Diario</t>
  </si>
  <si>
    <t>Tasa i Diario(ibmc)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</si>
</sst>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9" fontId="0" fillId="0" borderId="0" xfId="0" applyNumberFormat="1"/>
    <xf numFmtId="9" fontId="3" fillId="0" borderId="10" xfId="0" applyNumberFormat="1" applyFont="1" applyBorder="1"/>
    <xf numFmtId="164" fontId="3" fillId="0" borderId="11" xfId="1" applyNumberFormat="1" applyFont="1" applyBorder="1"/>
    <xf numFmtId="4" fontId="3" fillId="0" borderId="11" xfId="0" applyNumberFormat="1" applyFont="1" applyBorder="1"/>
    <xf numFmtId="0" fontId="3" fillId="0" borderId="11" xfId="0" applyFont="1" applyBorder="1"/>
    <xf numFmtId="2" fontId="3" fillId="0" borderId="1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0" xfId="0" applyFont="1"/>
    <xf numFmtId="0" fontId="2" fillId="2" borderId="5" xfId="0" applyFont="1" applyFill="1" applyBorder="1" applyAlignment="1">
      <alignment wrapText="1"/>
    </xf>
    <xf numFmtId="0" fontId="3" fillId="3" borderId="2" xfId="0" applyFont="1" applyFill="1" applyBorder="1" applyAlignment="1">
      <alignment vertical="center"/>
    </xf>
    <xf numFmtId="0" fontId="3" fillId="3" borderId="5" xfId="0" applyFont="1" applyFill="1" applyBorder="1" applyAlignment="1"/>
    <xf numFmtId="0" fontId="3" fillId="3" borderId="0" xfId="0" applyFont="1" applyFill="1" applyBorder="1" applyAlignment="1"/>
    <xf numFmtId="0" fontId="3" fillId="3" borderId="6" xfId="0" applyFont="1" applyFill="1" applyBorder="1" applyAlignment="1"/>
    <xf numFmtId="0" fontId="3" fillId="3" borderId="7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vertical="center"/>
    </xf>
    <xf numFmtId="0" fontId="3" fillId="0" borderId="10" xfId="0" applyFont="1" applyBorder="1"/>
    <xf numFmtId="9" fontId="3" fillId="0" borderId="11" xfId="0" applyNumberFormat="1" applyFont="1" applyBorder="1"/>
    <xf numFmtId="164" fontId="3" fillId="0" borderId="10" xfId="1" applyNumberFormat="1" applyFont="1" applyBorder="1"/>
    <xf numFmtId="2" fontId="3" fillId="0" borderId="6" xfId="0" applyNumberFormat="1" applyFont="1" applyBorder="1"/>
    <xf numFmtId="4" fontId="3" fillId="0" borderId="5" xfId="0" applyNumberFormat="1" applyFont="1" applyBorder="1"/>
    <xf numFmtId="4" fontId="3" fillId="0" borderId="10" xfId="0" applyNumberFormat="1" applyFont="1" applyBorder="1"/>
    <xf numFmtId="4" fontId="3" fillId="0" borderId="6" xfId="0" applyNumberFormat="1" applyFont="1" applyBorder="1"/>
    <xf numFmtId="4" fontId="3" fillId="0" borderId="0" xfId="0" applyNumberFormat="1" applyFont="1" applyBorder="1"/>
    <xf numFmtId="0" fontId="3" fillId="0" borderId="12" xfId="0" applyFont="1" applyBorder="1"/>
    <xf numFmtId="9" fontId="3" fillId="0" borderId="12" xfId="0" applyNumberFormat="1" applyFont="1" applyBorder="1"/>
    <xf numFmtId="164" fontId="3" fillId="0" borderId="12" xfId="1" applyNumberFormat="1" applyFont="1" applyBorder="1"/>
    <xf numFmtId="2" fontId="3" fillId="0" borderId="8" xfId="0" applyNumberFormat="1" applyFont="1" applyBorder="1"/>
    <xf numFmtId="4" fontId="3" fillId="0" borderId="7" xfId="0" applyNumberFormat="1" applyFont="1" applyBorder="1"/>
    <xf numFmtId="4" fontId="3" fillId="0" borderId="12" xfId="0" applyNumberFormat="1" applyFont="1" applyBorder="1"/>
    <xf numFmtId="4" fontId="3" fillId="0" borderId="8" xfId="0" applyNumberFormat="1" applyFont="1" applyBorder="1"/>
    <xf numFmtId="4" fontId="3" fillId="0" borderId="9" xfId="0" applyNumberFormat="1" applyFont="1" applyBorder="1"/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4" fontId="3" fillId="0" borderId="0" xfId="0" applyNumberFormat="1" applyFont="1"/>
    <xf numFmtId="4" fontId="0" fillId="0" borderId="0" xfId="0" applyNumberFormat="1"/>
    <xf numFmtId="0" fontId="3" fillId="3" borderId="13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showGridLines="0" tabSelected="1" zoomScale="96" zoomScaleNormal="96" workbookViewId="0">
      <selection activeCell="B6" sqref="B6"/>
    </sheetView>
  </sheetViews>
  <sheetFormatPr baseColWidth="10" defaultRowHeight="15" x14ac:dyDescent="0.25"/>
  <cols>
    <col min="1" max="1" width="18.28515625" customWidth="1"/>
    <col min="2" max="2" width="18" customWidth="1"/>
    <col min="3" max="3" width="15.5703125" customWidth="1"/>
    <col min="4" max="4" width="25.7109375" bestFit="1" customWidth="1"/>
    <col min="5" max="5" width="13.42578125" bestFit="1" customWidth="1"/>
    <col min="6" max="6" width="15" bestFit="1" customWidth="1"/>
    <col min="7" max="7" width="14.5703125" bestFit="1" customWidth="1"/>
    <col min="8" max="8" width="16" bestFit="1" customWidth="1"/>
    <col min="9" max="9" width="18.140625" bestFit="1" customWidth="1"/>
    <col min="10" max="10" width="16.7109375" bestFit="1" customWidth="1"/>
    <col min="11" max="11" width="18.5703125" bestFit="1" customWidth="1"/>
    <col min="12" max="12" width="19.140625" bestFit="1" customWidth="1"/>
    <col min="13" max="13" width="16.5703125" customWidth="1"/>
    <col min="14" max="14" width="20" bestFit="1" customWidth="1"/>
  </cols>
  <sheetData>
    <row r="1" spans="1:14" ht="15.75" thickBot="1" x14ac:dyDescent="0.3"/>
    <row r="2" spans="1:14" ht="15.75" thickBot="1" x14ac:dyDescent="0.3">
      <c r="A2" s="7" t="s">
        <v>0</v>
      </c>
      <c r="B2" s="2">
        <v>0.06</v>
      </c>
      <c r="C2" s="8" t="s">
        <v>1</v>
      </c>
      <c r="D2" s="9" t="s">
        <v>2</v>
      </c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5.75" thickBot="1" x14ac:dyDescent="0.3">
      <c r="A3" s="11" t="s">
        <v>18</v>
      </c>
      <c r="B3" s="3">
        <v>1.7000000000000001E-4</v>
      </c>
      <c r="C3" s="39">
        <v>360</v>
      </c>
      <c r="D3" s="40">
        <v>30</v>
      </c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x14ac:dyDescent="0.25">
      <c r="A4" s="11" t="s">
        <v>3</v>
      </c>
      <c r="B4" s="4">
        <v>50057689672.529999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4</v>
      </c>
      <c r="B5" s="38" t="s">
        <v>5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ht="30.75" thickBot="1" x14ac:dyDescent="0.3">
      <c r="A6" s="11" t="s">
        <v>6</v>
      </c>
      <c r="B6" s="6">
        <v>-40.460082410696629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5">
      <c r="A7" s="54" t="s">
        <v>1</v>
      </c>
      <c r="B7" s="54" t="s">
        <v>9</v>
      </c>
      <c r="C7" s="57" t="s">
        <v>19</v>
      </c>
      <c r="D7" s="12"/>
      <c r="E7" s="49" t="s">
        <v>7</v>
      </c>
      <c r="F7" s="52"/>
      <c r="G7" s="46"/>
      <c r="H7" s="62" t="s">
        <v>8</v>
      </c>
      <c r="I7" s="63"/>
      <c r="J7" s="63"/>
      <c r="K7" s="64"/>
      <c r="L7" s="49" t="s">
        <v>12</v>
      </c>
      <c r="M7" s="43" t="s">
        <v>13</v>
      </c>
      <c r="N7" s="46" t="s">
        <v>14</v>
      </c>
    </row>
    <row r="8" spans="1:14" x14ac:dyDescent="0.25">
      <c r="A8" s="55"/>
      <c r="B8" s="55"/>
      <c r="C8" s="58"/>
      <c r="D8" s="60" t="s">
        <v>10</v>
      </c>
      <c r="E8" s="50"/>
      <c r="F8" s="53"/>
      <c r="G8" s="47"/>
      <c r="H8" s="13"/>
      <c r="I8" s="14"/>
      <c r="J8" s="14"/>
      <c r="K8" s="15"/>
      <c r="L8" s="50"/>
      <c r="M8" s="44"/>
      <c r="N8" s="47"/>
    </row>
    <row r="9" spans="1:14" ht="30.75" thickBot="1" x14ac:dyDescent="0.3">
      <c r="A9" s="56"/>
      <c r="B9" s="56"/>
      <c r="C9" s="59"/>
      <c r="D9" s="61"/>
      <c r="E9" s="16" t="s">
        <v>11</v>
      </c>
      <c r="F9" s="17" t="s">
        <v>4</v>
      </c>
      <c r="G9" s="18" t="s">
        <v>12</v>
      </c>
      <c r="H9" s="19" t="s">
        <v>11</v>
      </c>
      <c r="I9" s="20" t="s">
        <v>15</v>
      </c>
      <c r="J9" s="20" t="s">
        <v>16</v>
      </c>
      <c r="K9" s="21" t="s">
        <v>17</v>
      </c>
      <c r="L9" s="51"/>
      <c r="M9" s="45"/>
      <c r="N9" s="48"/>
    </row>
    <row r="10" spans="1:14" x14ac:dyDescent="0.25">
      <c r="A10" s="22">
        <v>0</v>
      </c>
      <c r="B10" s="23"/>
      <c r="C10" s="24">
        <f>$A$27/360</f>
        <v>1.6666666666666666E-4</v>
      </c>
      <c r="D10" s="25">
        <v>100</v>
      </c>
      <c r="E10" s="26"/>
      <c r="F10" s="27"/>
      <c r="G10" s="28"/>
      <c r="H10" s="27"/>
      <c r="I10" s="27"/>
      <c r="J10" s="27"/>
      <c r="K10" s="27"/>
      <c r="L10" s="26"/>
      <c r="M10" s="29">
        <v>500576896.72530001</v>
      </c>
      <c r="N10" s="28">
        <v>50057689672.529999</v>
      </c>
    </row>
    <row r="11" spans="1:14" x14ac:dyDescent="0.25">
      <c r="A11" s="5">
        <v>1</v>
      </c>
      <c r="B11" s="23">
        <v>5.8941611816775819E-2</v>
      </c>
      <c r="C11" s="3">
        <f t="shared" ref="C11:C24" si="0">$A$27/360</f>
        <v>1.6666666666666666E-4</v>
      </c>
      <c r="D11" s="25">
        <v>105.89</v>
      </c>
      <c r="E11" s="26">
        <v>83429.482787550005</v>
      </c>
      <c r="F11" s="4">
        <v>16645607.028247954</v>
      </c>
      <c r="G11" s="28">
        <v>16729036.511035504</v>
      </c>
      <c r="H11" s="4">
        <v>8834347.9323736709</v>
      </c>
      <c r="I11" s="4">
        <v>1664560702.8247955</v>
      </c>
      <c r="J11" s="4">
        <v>98042625.396380424</v>
      </c>
      <c r="K11" s="4">
        <v>1762603328.2211759</v>
      </c>
      <c r="L11" s="26">
        <v>1771437676.1535497</v>
      </c>
      <c r="M11" s="29">
        <v>483931289.69705206</v>
      </c>
      <c r="N11" s="28">
        <v>51243484266.020844</v>
      </c>
    </row>
    <row r="12" spans="1:14" x14ac:dyDescent="0.25">
      <c r="A12" s="5">
        <v>2</v>
      </c>
      <c r="B12" s="23">
        <v>8.9844283820069482E-2</v>
      </c>
      <c r="C12" s="3">
        <f t="shared" si="0"/>
        <v>1.6666666666666666E-4</v>
      </c>
      <c r="D12" s="25">
        <v>115.41</v>
      </c>
      <c r="E12" s="26">
        <v>80655.214949508678</v>
      </c>
      <c r="F12" s="4">
        <v>16648381.296086</v>
      </c>
      <c r="G12" s="28">
        <v>16729036.511035509</v>
      </c>
      <c r="H12" s="4">
        <v>9308418.3573227953</v>
      </c>
      <c r="I12" s="4">
        <v>1664838129.6085997</v>
      </c>
      <c r="J12" s="4">
        <v>256551555.77268553</v>
      </c>
      <c r="K12" s="4">
        <v>1921389685.3812852</v>
      </c>
      <c r="L12" s="26">
        <v>1930698103.7386079</v>
      </c>
      <c r="M12" s="29">
        <v>467282908.40096605</v>
      </c>
      <c r="N12" s="28">
        <v>53929120458.555489</v>
      </c>
    </row>
    <row r="13" spans="1:14" x14ac:dyDescent="0.25">
      <c r="A13" s="5">
        <v>3</v>
      </c>
      <c r="B13" s="23">
        <v>3.4276542260126108E-2</v>
      </c>
      <c r="C13" s="3">
        <f t="shared" si="0"/>
        <v>1.6666666666666666E-4</v>
      </c>
      <c r="D13" s="25">
        <v>119.36</v>
      </c>
      <c r="E13" s="26">
        <v>77880.484733494348</v>
      </c>
      <c r="F13" s="4">
        <v>16651156.026302014</v>
      </c>
      <c r="G13" s="28">
        <v>16729036.511035508</v>
      </c>
      <c r="H13" s="4">
        <v>9295814.657789886</v>
      </c>
      <c r="I13" s="4">
        <v>1665115602.6302009</v>
      </c>
      <c r="J13" s="4">
        <v>322366380.66920757</v>
      </c>
      <c r="K13" s="4">
        <v>1987481983.2994084</v>
      </c>
      <c r="L13" s="26">
        <v>1996777797.9571984</v>
      </c>
      <c r="M13" s="29">
        <v>450631752.37466401</v>
      </c>
      <c r="N13" s="28">
        <v>53787405963.439896</v>
      </c>
    </row>
    <row r="14" spans="1:14" x14ac:dyDescent="0.25">
      <c r="A14" s="5">
        <v>4</v>
      </c>
      <c r="B14" s="23">
        <v>-4.1456362811984615E-2</v>
      </c>
      <c r="C14" s="3">
        <f t="shared" si="0"/>
        <v>1.6666666666666666E-4</v>
      </c>
      <c r="D14" s="25">
        <v>114.42</v>
      </c>
      <c r="E14" s="26">
        <v>75105.292062444001</v>
      </c>
      <c r="F14" s="4">
        <v>16653931.218973059</v>
      </c>
      <c r="G14" s="28">
        <v>16729036.511035504</v>
      </c>
      <c r="H14" s="4">
        <v>8593547.5177848432</v>
      </c>
      <c r="I14" s="4">
        <v>1665393121.897306</v>
      </c>
      <c r="J14" s="4">
        <v>240149688.17759156</v>
      </c>
      <c r="K14" s="4">
        <v>1905542810.0748975</v>
      </c>
      <c r="L14" s="26">
        <v>1914136357.5926824</v>
      </c>
      <c r="M14" s="29">
        <v>433977821.15569097</v>
      </c>
      <c r="N14" s="28">
        <v>49655742296.634163</v>
      </c>
    </row>
    <row r="15" spans="1:14" x14ac:dyDescent="0.25">
      <c r="A15" s="5">
        <v>5</v>
      </c>
      <c r="B15" s="23">
        <v>-3.8841323578990838E-2</v>
      </c>
      <c r="C15" s="3">
        <f t="shared" si="0"/>
        <v>1.6666666666666666E-4</v>
      </c>
      <c r="D15" s="25">
        <v>109.97</v>
      </c>
      <c r="E15" s="26">
        <v>72329.636859281833</v>
      </c>
      <c r="F15" s="4">
        <v>16656706.874176223</v>
      </c>
      <c r="G15" s="28">
        <v>16729036.511035504</v>
      </c>
      <c r="H15" s="4">
        <v>7954090.1654152228</v>
      </c>
      <c r="I15" s="4">
        <v>1665670687.4176221</v>
      </c>
      <c r="J15" s="4">
        <v>166067367.535537</v>
      </c>
      <c r="K15" s="4">
        <v>1831738054.9531591</v>
      </c>
      <c r="L15" s="26">
        <v>1839692145.1185744</v>
      </c>
      <c r="M15" s="29">
        <v>417321114.28151476</v>
      </c>
      <c r="N15" s="28">
        <v>45892802937.538177</v>
      </c>
    </row>
    <row r="16" spans="1:14" x14ac:dyDescent="0.25">
      <c r="A16" s="5">
        <v>6</v>
      </c>
      <c r="B16" s="23">
        <v>9.8706716617964485E-3</v>
      </c>
      <c r="C16" s="3">
        <f t="shared" si="0"/>
        <v>1.6666666666666666E-4</v>
      </c>
      <c r="D16" s="25">
        <v>111.06</v>
      </c>
      <c r="E16" s="26">
        <v>69553.519046919129</v>
      </c>
      <c r="F16" s="4">
        <v>16659482.991988588</v>
      </c>
      <c r="G16" s="28">
        <v>16729036.511035508</v>
      </c>
      <c r="H16" s="4">
        <v>7724613.8253508387</v>
      </c>
      <c r="I16" s="4">
        <v>1665948299.1988587</v>
      </c>
      <c r="J16" s="4">
        <v>184253881.8913939</v>
      </c>
      <c r="K16" s="4">
        <v>1850202181.0902526</v>
      </c>
      <c r="L16" s="26">
        <v>1857926794.9156034</v>
      </c>
      <c r="M16" s="29">
        <v>400661631.28952616</v>
      </c>
      <c r="N16" s="28">
        <v>44497480771.014778</v>
      </c>
    </row>
    <row r="17" spans="1:14" x14ac:dyDescent="0.25">
      <c r="A17" s="5">
        <v>7</v>
      </c>
      <c r="B17" s="23">
        <v>4.8087114158604116E-2</v>
      </c>
      <c r="C17" s="3">
        <f t="shared" si="0"/>
        <v>1.6666666666666666E-4</v>
      </c>
      <c r="D17" s="25">
        <v>115.05</v>
      </c>
      <c r="E17" s="26">
        <v>66776.938548254358</v>
      </c>
      <c r="F17" s="4">
        <v>16662259.572487254</v>
      </c>
      <c r="G17" s="28">
        <v>16729036.511035508</v>
      </c>
      <c r="H17" s="4">
        <v>7682686.7799766641</v>
      </c>
      <c r="I17" s="4">
        <v>1666225957.2487249</v>
      </c>
      <c r="J17" s="4">
        <v>250767006.56593347</v>
      </c>
      <c r="K17" s="4">
        <v>1916992963.8146584</v>
      </c>
      <c r="L17" s="26">
        <v>1924675650.594635</v>
      </c>
      <c r="M17" s="29">
        <v>383999371.71703893</v>
      </c>
      <c r="N17" s="28">
        <v>44179127716.045326</v>
      </c>
    </row>
    <row r="18" spans="1:14" x14ac:dyDescent="0.25">
      <c r="A18" s="5">
        <v>8</v>
      </c>
      <c r="B18" s="23">
        <v>8.9927004678987732E-2</v>
      </c>
      <c r="C18" s="3">
        <f t="shared" si="0"/>
        <v>1.6666666666666666E-4</v>
      </c>
      <c r="D18" s="25">
        <v>126.86466405694775</v>
      </c>
      <c r="E18" s="26">
        <v>63999.895286173152</v>
      </c>
      <c r="F18" s="4">
        <v>16665036.615749335</v>
      </c>
      <c r="G18" s="28">
        <v>16729036.511035508</v>
      </c>
      <c r="H18" s="4">
        <v>8119325.2151601901</v>
      </c>
      <c r="I18" s="4">
        <v>1666503661.5749333</v>
      </c>
      <c r="J18" s="4">
        <v>447700610.17883945</v>
      </c>
      <c r="K18" s="4">
        <v>2114204271.7537727</v>
      </c>
      <c r="L18" s="26">
        <v>2122323596.9689329</v>
      </c>
      <c r="M18" s="29">
        <v>367334335.10128957</v>
      </c>
      <c r="N18" s="28">
        <v>46601747019.207367</v>
      </c>
    </row>
    <row r="19" spans="1:14" x14ac:dyDescent="0.25">
      <c r="A19" s="5">
        <v>9</v>
      </c>
      <c r="B19" s="23">
        <v>7.1365814416899598E-2</v>
      </c>
      <c r="C19" s="3">
        <f t="shared" si="0"/>
        <v>1.6666666666666666E-4</v>
      </c>
      <c r="D19" s="25">
        <v>135.91846412809818</v>
      </c>
      <c r="E19" s="26">
        <v>61222.389183548257</v>
      </c>
      <c r="F19" s="4">
        <v>16667814.12185196</v>
      </c>
      <c r="G19" s="28">
        <v>16729036.511035508</v>
      </c>
      <c r="H19" s="4">
        <v>8321253.1080805697</v>
      </c>
      <c r="I19" s="4">
        <v>1666781412.1851957</v>
      </c>
      <c r="J19" s="4">
        <v>598682283.62954831</v>
      </c>
      <c r="K19" s="4">
        <v>2265463695.814744</v>
      </c>
      <c r="L19" s="26">
        <v>2273784948.9228244</v>
      </c>
      <c r="M19" s="29">
        <v>350666520.97943759</v>
      </c>
      <c r="N19" s="28">
        <v>47662054952.668678</v>
      </c>
    </row>
    <row r="20" spans="1:14" x14ac:dyDescent="0.25">
      <c r="A20" s="5">
        <v>10</v>
      </c>
      <c r="B20" s="23">
        <v>2.4928110975417361E-2</v>
      </c>
      <c r="C20" s="3">
        <f t="shared" si="0"/>
        <v>1.6666666666666666E-4</v>
      </c>
      <c r="D20" s="25">
        <v>139.30665468549168</v>
      </c>
      <c r="E20" s="26">
        <v>58444.420163239593</v>
      </c>
      <c r="F20" s="4">
        <v>16670592.090872264</v>
      </c>
      <c r="G20" s="28">
        <v>16729036.511035504</v>
      </c>
      <c r="H20" s="4">
        <v>8141696.657974205</v>
      </c>
      <c r="I20" s="4">
        <v>1667059209.0872264</v>
      </c>
      <c r="J20" s="4">
        <v>655265206.71860456</v>
      </c>
      <c r="K20" s="4">
        <v>2322324415.805831</v>
      </c>
      <c r="L20" s="26">
        <v>2330466112.4638052</v>
      </c>
      <c r="M20" s="29">
        <v>333995928.8885653</v>
      </c>
      <c r="N20" s="28">
        <v>46527855532.039398</v>
      </c>
    </row>
    <row r="21" spans="1:14" x14ac:dyDescent="0.25">
      <c r="A21" s="5">
        <v>11</v>
      </c>
      <c r="B21" s="23">
        <v>5.5479857929056964E-2</v>
      </c>
      <c r="C21" s="3">
        <f t="shared" si="0"/>
        <v>1.6666666666666666E-4</v>
      </c>
      <c r="D21" s="25">
        <v>147.03536809601499</v>
      </c>
      <c r="E21" s="26">
        <v>55665.98814809422</v>
      </c>
      <c r="F21" s="4">
        <v>16673370.522887407</v>
      </c>
      <c r="G21" s="28">
        <v>16729036.511035502</v>
      </c>
      <c r="H21" s="4">
        <v>8184869.0577834416</v>
      </c>
      <c r="I21" s="4">
        <v>1667337052.2887411</v>
      </c>
      <c r="J21" s="4">
        <v>784238119.9452548</v>
      </c>
      <c r="K21" s="4">
        <v>2451575172.2339959</v>
      </c>
      <c r="L21" s="26">
        <v>2459760041.2917795</v>
      </c>
      <c r="M21" s="29">
        <v>317322558.36567789</v>
      </c>
      <c r="N21" s="28">
        <v>46657639174.466652</v>
      </c>
    </row>
    <row r="22" spans="1:14" x14ac:dyDescent="0.25">
      <c r="A22" s="5">
        <v>12</v>
      </c>
      <c r="B22" s="23">
        <v>2.4005707495720952E-2</v>
      </c>
      <c r="C22" s="3">
        <f t="shared" si="0"/>
        <v>1.6666666666666666E-4</v>
      </c>
      <c r="D22" s="25">
        <v>150.56505613405358</v>
      </c>
      <c r="E22" s="26">
        <v>52887.093060946318</v>
      </c>
      <c r="F22" s="4">
        <v>16676149.417974558</v>
      </c>
      <c r="G22" s="28">
        <v>16729036.511035504</v>
      </c>
      <c r="H22" s="4">
        <v>7962948.1354882978</v>
      </c>
      <c r="I22" s="4">
        <v>1667614941.7974558</v>
      </c>
      <c r="J22" s="4">
        <v>843230431.41974831</v>
      </c>
      <c r="K22" s="4">
        <v>2510845373.2172041</v>
      </c>
      <c r="L22" s="26">
        <v>2518808321.3526926</v>
      </c>
      <c r="M22" s="29">
        <v>300646408.94770336</v>
      </c>
      <c r="N22" s="28">
        <v>45266843439.712585</v>
      </c>
    </row>
    <row r="23" spans="1:14" x14ac:dyDescent="0.25">
      <c r="A23" s="5">
        <v>13</v>
      </c>
      <c r="B23" s="23">
        <v>-2.3092584753536483E-2</v>
      </c>
      <c r="C23" s="3">
        <f t="shared" si="0"/>
        <v>1.6666666666666666E-4</v>
      </c>
      <c r="D23" s="25">
        <v>147.08811981435696</v>
      </c>
      <c r="E23" s="26">
        <v>50107.734824617226</v>
      </c>
      <c r="F23" s="4">
        <v>16678928.776210887</v>
      </c>
      <c r="G23" s="28">
        <v>16729036.511035504</v>
      </c>
      <c r="H23" s="4">
        <v>7370252.503509325</v>
      </c>
      <c r="I23" s="4">
        <v>1667892877.6210885</v>
      </c>
      <c r="J23" s="4">
        <v>785379396.5893445</v>
      </c>
      <c r="K23" s="4">
        <v>2453272274.210433</v>
      </c>
      <c r="L23" s="26">
        <v>2460642526.7139425</v>
      </c>
      <c r="M23" s="29">
        <v>283967480.17149246</v>
      </c>
      <c r="N23" s="28">
        <v>41768242746.84552</v>
      </c>
    </row>
    <row r="24" spans="1:14" ht="15.75" thickBot="1" x14ac:dyDescent="0.3">
      <c r="A24" s="30">
        <v>14</v>
      </c>
      <c r="B24" s="31">
        <v>-2.3353828010899469E-2</v>
      </c>
      <c r="C24" s="32">
        <f t="shared" si="0"/>
        <v>1.6666666666666666E-4</v>
      </c>
      <c r="D24" s="33">
        <v>143.65304916176592</v>
      </c>
      <c r="E24" s="34">
        <v>47327.913361915409</v>
      </c>
      <c r="F24" s="35">
        <v>16681708.597673586</v>
      </c>
      <c r="G24" s="36">
        <v>16729036.511035502</v>
      </c>
      <c r="H24" s="35">
        <v>6798799.064903032</v>
      </c>
      <c r="I24" s="35">
        <v>1668170859.7673588</v>
      </c>
      <c r="J24" s="35">
        <v>728207445.51649809</v>
      </c>
      <c r="K24" s="35">
        <v>2396378305.2838569</v>
      </c>
      <c r="L24" s="34">
        <v>2403177104.3487601</v>
      </c>
      <c r="M24" s="37">
        <v>267285771.57381886</v>
      </c>
      <c r="N24" s="36">
        <v>38396416084.134338</v>
      </c>
    </row>
    <row r="25" spans="1:14" x14ac:dyDescent="0.25">
      <c r="A25" s="10"/>
      <c r="B25" s="10"/>
      <c r="C25" s="10"/>
      <c r="D25" s="10"/>
      <c r="E25" s="10"/>
      <c r="F25" s="10"/>
      <c r="G25" s="10"/>
      <c r="H25" s="41">
        <f>+SUM(H11:H24)</f>
        <v>114292662.97891298</v>
      </c>
      <c r="I25" s="41">
        <f>+SUM(I11:I24)</f>
        <v>23329112515.148109</v>
      </c>
      <c r="J25" s="29">
        <f>+SUM(J11:J24)</f>
        <v>6360902000.006567</v>
      </c>
      <c r="K25" s="29">
        <f>+SUM(K11:K24)</f>
        <v>29690014515.154678</v>
      </c>
      <c r="L25" s="29">
        <f>+SUM(L11:L24)</f>
        <v>29804307178.133587</v>
      </c>
      <c r="M25" s="10"/>
      <c r="N25" s="10"/>
    </row>
    <row r="27" spans="1:14" hidden="1" x14ac:dyDescent="0.25">
      <c r="A27" s="1">
        <v>0.06</v>
      </c>
    </row>
    <row r="29" spans="1:14" x14ac:dyDescent="0.25">
      <c r="H29" s="42"/>
    </row>
  </sheetData>
  <mergeCells count="9">
    <mergeCell ref="M7:M9"/>
    <mergeCell ref="N7:N9"/>
    <mergeCell ref="L7:L9"/>
    <mergeCell ref="E7:G8"/>
    <mergeCell ref="A7:A9"/>
    <mergeCell ref="B7:B9"/>
    <mergeCell ref="C7:C9"/>
    <mergeCell ref="D8:D9"/>
    <mergeCell ref="H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Goncalves</dc:creator>
  <cp:lastModifiedBy>Edgar Sandoval</cp:lastModifiedBy>
  <dcterms:created xsi:type="dcterms:W3CDTF">2019-11-18T21:20:51Z</dcterms:created>
  <dcterms:modified xsi:type="dcterms:W3CDTF">2019-11-19T12:32:00Z</dcterms:modified>
</cp:coreProperties>
</file>