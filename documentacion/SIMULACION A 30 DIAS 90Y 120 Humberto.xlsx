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dgar.sandoval\Documents\Varios\UVCC\"/>
    </mc:Choice>
  </mc:AlternateContent>
  <bookViews>
    <workbookView xWindow="0" yWindow="0" windowWidth="16815" windowHeight="6165" firstSheet="1" activeTab="6"/>
  </bookViews>
  <sheets>
    <sheet name="ejercicio inyección" sheetId="2" state="hidden" r:id="rId1"/>
    <sheet name="IDI 18MARZO" sheetId="20" r:id="rId2"/>
    <sheet name="Tabla" sheetId="18" state="hidden" r:id="rId3"/>
    <sheet name=" 30 dias (3)" sheetId="24" state="hidden" r:id="rId4"/>
    <sheet name=" 30 dias (2)" sheetId="19" state="hidden" r:id="rId5"/>
    <sheet name="30 dias " sheetId="27" r:id="rId6"/>
    <sheet name=" 90 dias (3)" sheetId="23" r:id="rId7"/>
    <sheet name="120 dias " sheetId="25" state="hidden" r:id="rId8"/>
  </sheets>
  <definedNames>
    <definedName name="_xlnm._FilterDatabase" localSheetId="6" hidden="1">' 90 dias (3)'!$A$44:$S$44</definedName>
    <definedName name="_xlnm._FilterDatabase" localSheetId="7" hidden="1">'120 dias '!$A$13:$S$13</definedName>
    <definedName name="_xlnm._FilterDatabase" localSheetId="1" hidden="1">'IDI 18MARZO'!$A$1:$I$144</definedName>
  </definedNames>
  <calcPr calcId="152511"/>
</workbook>
</file>

<file path=xl/calcChain.xml><?xml version="1.0" encoding="utf-8"?>
<calcChain xmlns="http://schemas.openxmlformats.org/spreadsheetml/2006/main">
  <c r="D29" i="23" l="1"/>
  <c r="P75" i="27" l="1"/>
  <c r="I74" i="27"/>
  <c r="I75" i="27" s="1"/>
  <c r="R73" i="27"/>
  <c r="R72" i="27"/>
  <c r="R71" i="27"/>
  <c r="R70" i="27"/>
  <c r="R69" i="27"/>
  <c r="R68" i="27"/>
  <c r="R67" i="27"/>
  <c r="R66" i="27"/>
  <c r="R65" i="27"/>
  <c r="R64" i="27"/>
  <c r="R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C45" i="27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N44" i="27"/>
  <c r="R44" i="27"/>
  <c r="C28" i="27"/>
  <c r="D27" i="27"/>
  <c r="F39" i="27" s="1"/>
  <c r="C19" i="27"/>
  <c r="F19" i="27" s="1"/>
  <c r="H18" i="27"/>
  <c r="H17" i="27"/>
  <c r="F17" i="27"/>
  <c r="H13" i="27"/>
  <c r="D13" i="27"/>
  <c r="H12" i="27"/>
  <c r="D12" i="27"/>
  <c r="D5" i="27"/>
  <c r="C5" i="27"/>
  <c r="F17" i="23"/>
  <c r="D13" i="23"/>
  <c r="D12" i="23"/>
  <c r="K138" i="23" s="1"/>
  <c r="C19" i="23"/>
  <c r="H19" i="23" s="1"/>
  <c r="H18" i="23"/>
  <c r="H17" i="23"/>
  <c r="H13" i="23"/>
  <c r="H12" i="23"/>
  <c r="D29" i="27" l="1"/>
  <c r="K78" i="27" s="1"/>
  <c r="H19" i="27"/>
  <c r="S46" i="27"/>
  <c r="S47" i="27"/>
  <c r="S45" i="27"/>
  <c r="S59" i="27"/>
  <c r="S67" i="27"/>
  <c r="F13" i="27"/>
  <c r="S50" i="27"/>
  <c r="S54" i="27"/>
  <c r="S58" i="27"/>
  <c r="S62" i="27"/>
  <c r="S66" i="27"/>
  <c r="S70" i="27"/>
  <c r="S55" i="27"/>
  <c r="S53" i="27"/>
  <c r="S57" i="27"/>
  <c r="S61" i="27"/>
  <c r="S65" i="27"/>
  <c r="S69" i="27"/>
  <c r="S73" i="27"/>
  <c r="S51" i="27"/>
  <c r="S63" i="27"/>
  <c r="S71" i="27"/>
  <c r="S49" i="27"/>
  <c r="S48" i="27"/>
  <c r="S52" i="27"/>
  <c r="S56" i="27"/>
  <c r="S60" i="27"/>
  <c r="S64" i="27"/>
  <c r="S68" i="27"/>
  <c r="S72" i="27"/>
  <c r="F19" i="23"/>
  <c r="F13" i="23"/>
  <c r="I132" i="25" l="1"/>
  <c r="I134" i="23"/>
  <c r="D27" i="23" s="1"/>
  <c r="I43" i="19"/>
  <c r="N13" i="25" l="1"/>
  <c r="N44" i="23"/>
  <c r="N13" i="19"/>
  <c r="C5" i="23" l="1"/>
  <c r="A44" i="23"/>
  <c r="D44" i="23" s="1"/>
  <c r="M44" i="23" s="1"/>
  <c r="A13" i="19"/>
  <c r="D5" i="25"/>
  <c r="A13" i="25"/>
  <c r="R13" i="25" s="1"/>
  <c r="R132" i="25"/>
  <c r="R131" i="25"/>
  <c r="R130" i="25"/>
  <c r="R129" i="25"/>
  <c r="R128" i="25"/>
  <c r="R127" i="25"/>
  <c r="R126" i="25"/>
  <c r="R125" i="25"/>
  <c r="R124" i="25"/>
  <c r="R123" i="25"/>
  <c r="R122" i="25"/>
  <c r="R121" i="25"/>
  <c r="R120" i="25"/>
  <c r="R119" i="25"/>
  <c r="R118" i="25"/>
  <c r="R117" i="25"/>
  <c r="S117" i="25" s="1"/>
  <c r="R116" i="25"/>
  <c r="R115" i="25"/>
  <c r="S115" i="25" s="1"/>
  <c r="R114" i="25"/>
  <c r="R113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8" i="25"/>
  <c r="R97" i="25"/>
  <c r="R96" i="25"/>
  <c r="R95" i="25"/>
  <c r="R94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R69" i="25"/>
  <c r="R68" i="25"/>
  <c r="R67" i="25"/>
  <c r="S67" i="25" s="1"/>
  <c r="R66" i="25"/>
  <c r="R65" i="25"/>
  <c r="R64" i="25"/>
  <c r="R63" i="25"/>
  <c r="R62" i="25"/>
  <c r="R61" i="25"/>
  <c r="R60" i="25"/>
  <c r="R59" i="25"/>
  <c r="S59" i="25" s="1"/>
  <c r="R58" i="25"/>
  <c r="R57" i="25"/>
  <c r="R56" i="25"/>
  <c r="R55" i="25"/>
  <c r="S55" i="25" s="1"/>
  <c r="R54" i="25"/>
  <c r="R53" i="25"/>
  <c r="S53" i="25" s="1"/>
  <c r="R52" i="25"/>
  <c r="R51" i="25"/>
  <c r="R50" i="25"/>
  <c r="R49" i="25"/>
  <c r="S49" i="25" s="1"/>
  <c r="R48" i="25"/>
  <c r="R47" i="25"/>
  <c r="R46" i="25"/>
  <c r="R45" i="25"/>
  <c r="S45" i="25" s="1"/>
  <c r="R44" i="25"/>
  <c r="R43" i="25"/>
  <c r="R42" i="25"/>
  <c r="R41" i="25"/>
  <c r="R40" i="25"/>
  <c r="R39" i="25"/>
  <c r="R38" i="25"/>
  <c r="R37" i="25"/>
  <c r="R36" i="25"/>
  <c r="R35" i="25"/>
  <c r="R34" i="25"/>
  <c r="R33" i="25"/>
  <c r="R32" i="25"/>
  <c r="S32" i="25" s="1"/>
  <c r="R31" i="25"/>
  <c r="R30" i="25"/>
  <c r="R29" i="25"/>
  <c r="S29" i="25" s="1"/>
  <c r="R28" i="25"/>
  <c r="S28" i="25" s="1"/>
  <c r="R27" i="25"/>
  <c r="R26" i="25"/>
  <c r="R25" i="25"/>
  <c r="S25" i="25" s="1"/>
  <c r="R24" i="25"/>
  <c r="S24" i="25" s="1"/>
  <c r="R23" i="25"/>
  <c r="R22" i="25"/>
  <c r="R21" i="25"/>
  <c r="S21" i="25" s="1"/>
  <c r="R20" i="25"/>
  <c r="R19" i="25"/>
  <c r="R18" i="25"/>
  <c r="R17" i="25"/>
  <c r="S17" i="25" s="1"/>
  <c r="R16" i="25"/>
  <c r="S16" i="25" s="1"/>
  <c r="R15" i="25"/>
  <c r="C15" i="25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R14" i="25"/>
  <c r="C14" i="25"/>
  <c r="C5" i="25"/>
  <c r="P44" i="24"/>
  <c r="I44" i="24"/>
  <c r="R43" i="24"/>
  <c r="R42" i="24"/>
  <c r="R41" i="24"/>
  <c r="S41" i="24" s="1"/>
  <c r="R40" i="24"/>
  <c r="R39" i="24"/>
  <c r="R38" i="24"/>
  <c r="R37" i="24"/>
  <c r="R36" i="24"/>
  <c r="R35" i="24"/>
  <c r="R34" i="24"/>
  <c r="R33" i="24"/>
  <c r="R32" i="24"/>
  <c r="R31" i="24"/>
  <c r="R30" i="24"/>
  <c r="R29" i="24"/>
  <c r="S29" i="24" s="1"/>
  <c r="R28" i="24"/>
  <c r="R27" i="24"/>
  <c r="R26" i="24"/>
  <c r="R25" i="24"/>
  <c r="R24" i="24"/>
  <c r="R23" i="24"/>
  <c r="R22" i="24"/>
  <c r="R21" i="24"/>
  <c r="C21" i="24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R20" i="24"/>
  <c r="R19" i="24"/>
  <c r="R18" i="24"/>
  <c r="R17" i="24"/>
  <c r="C17" i="24"/>
  <c r="C18" i="24" s="1"/>
  <c r="C19" i="24" s="1"/>
  <c r="C20" i="24" s="1"/>
  <c r="R16" i="24"/>
  <c r="S16" i="24" s="1"/>
  <c r="R15" i="24"/>
  <c r="R14" i="24"/>
  <c r="C14" i="24"/>
  <c r="C15" i="24" s="1"/>
  <c r="C16" i="24" s="1"/>
  <c r="R13" i="24"/>
  <c r="D13" i="24"/>
  <c r="D37" i="24" s="1"/>
  <c r="C5" i="24"/>
  <c r="B5" i="24"/>
  <c r="R15" i="19"/>
  <c r="R16" i="19"/>
  <c r="S16" i="19" s="1"/>
  <c r="R17" i="19"/>
  <c r="R18" i="19"/>
  <c r="R19" i="19"/>
  <c r="R20" i="19"/>
  <c r="S20" i="19" s="1"/>
  <c r="R21" i="19"/>
  <c r="R22" i="19"/>
  <c r="R23" i="19"/>
  <c r="R24" i="19"/>
  <c r="R25" i="19"/>
  <c r="R26" i="19"/>
  <c r="R27" i="19"/>
  <c r="R28" i="19"/>
  <c r="S28" i="19" s="1"/>
  <c r="R29" i="19"/>
  <c r="R30" i="19"/>
  <c r="R31" i="19"/>
  <c r="R32" i="19"/>
  <c r="R33" i="19"/>
  <c r="R34" i="19"/>
  <c r="R35" i="19"/>
  <c r="R36" i="19"/>
  <c r="S36" i="19" s="1"/>
  <c r="R37" i="19"/>
  <c r="R38" i="19"/>
  <c r="R39" i="19"/>
  <c r="R40" i="19"/>
  <c r="R41" i="19"/>
  <c r="R42" i="19"/>
  <c r="R133" i="23"/>
  <c r="R132" i="23"/>
  <c r="R131" i="23"/>
  <c r="R130" i="23"/>
  <c r="R129" i="23"/>
  <c r="R128" i="23"/>
  <c r="R127" i="23"/>
  <c r="R126" i="23"/>
  <c r="R125" i="23"/>
  <c r="R124" i="23"/>
  <c r="R123" i="23"/>
  <c r="R122" i="23"/>
  <c r="R121" i="23"/>
  <c r="R120" i="23"/>
  <c r="R119" i="23"/>
  <c r="R118" i="23"/>
  <c r="R117" i="23"/>
  <c r="R116" i="23"/>
  <c r="R115" i="23"/>
  <c r="R114" i="23"/>
  <c r="R113" i="23"/>
  <c r="R112" i="23"/>
  <c r="R111" i="23"/>
  <c r="R110" i="23"/>
  <c r="R109" i="23"/>
  <c r="R108" i="23"/>
  <c r="R107" i="23"/>
  <c r="R106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P135" i="23"/>
  <c r="I135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C45" i="23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R44" i="23"/>
  <c r="D5" i="23"/>
  <c r="J37" i="24" l="1"/>
  <c r="K37" i="24"/>
  <c r="D26" i="24"/>
  <c r="D29" i="24"/>
  <c r="D38" i="24"/>
  <c r="M13" i="24"/>
  <c r="D19" i="24"/>
  <c r="D21" i="24"/>
  <c r="D27" i="24"/>
  <c r="D33" i="24"/>
  <c r="S36" i="24"/>
  <c r="D42" i="24"/>
  <c r="S65" i="25"/>
  <c r="S132" i="25"/>
  <c r="S25" i="19"/>
  <c r="S17" i="19"/>
  <c r="D15" i="24"/>
  <c r="S17" i="24"/>
  <c r="D22" i="24"/>
  <c r="S25" i="24"/>
  <c r="D34" i="24"/>
  <c r="S37" i="24"/>
  <c r="D41" i="24"/>
  <c r="S108" i="25"/>
  <c r="S112" i="25"/>
  <c r="D18" i="24"/>
  <c r="D23" i="24"/>
  <c r="S42" i="25"/>
  <c r="S85" i="25"/>
  <c r="D14" i="24"/>
  <c r="K14" i="24" s="1"/>
  <c r="D17" i="24"/>
  <c r="S19" i="24"/>
  <c r="S21" i="24"/>
  <c r="D25" i="24"/>
  <c r="S27" i="24"/>
  <c r="D30" i="24"/>
  <c r="S33" i="24"/>
  <c r="S40" i="24"/>
  <c r="D43" i="24"/>
  <c r="S19" i="25"/>
  <c r="S47" i="25"/>
  <c r="S51" i="25"/>
  <c r="S54" i="25"/>
  <c r="S71" i="25"/>
  <c r="S102" i="25"/>
  <c r="S106" i="25"/>
  <c r="S110" i="25"/>
  <c r="S42" i="19"/>
  <c r="S38" i="19"/>
  <c r="S30" i="19"/>
  <c r="S26" i="19"/>
  <c r="S41" i="19"/>
  <c r="S33" i="19"/>
  <c r="S22" i="19"/>
  <c r="S32" i="19"/>
  <c r="S29" i="19"/>
  <c r="S34" i="19"/>
  <c r="S18" i="19"/>
  <c r="S40" i="19"/>
  <c r="S37" i="19"/>
  <c r="S24" i="19"/>
  <c r="S21" i="19"/>
  <c r="S60" i="23"/>
  <c r="S68" i="23"/>
  <c r="S90" i="23"/>
  <c r="S106" i="23"/>
  <c r="D92" i="23"/>
  <c r="J92" i="23" s="1"/>
  <c r="D13" i="25"/>
  <c r="D21" i="25" s="1"/>
  <c r="K21" i="25" s="1"/>
  <c r="S104" i="25"/>
  <c r="S107" i="25"/>
  <c r="S111" i="25"/>
  <c r="S121" i="25"/>
  <c r="S105" i="25"/>
  <c r="S109" i="25"/>
  <c r="S113" i="25"/>
  <c r="S116" i="25"/>
  <c r="S120" i="25"/>
  <c r="S114" i="25"/>
  <c r="S125" i="25"/>
  <c r="S103" i="25"/>
  <c r="S126" i="25"/>
  <c r="S124" i="25"/>
  <c r="S119" i="25"/>
  <c r="S123" i="25"/>
  <c r="S131" i="25"/>
  <c r="S122" i="25"/>
  <c r="S130" i="25"/>
  <c r="S129" i="25"/>
  <c r="S128" i="25"/>
  <c r="S118" i="25"/>
  <c r="S127" i="25"/>
  <c r="S33" i="25"/>
  <c r="S61" i="25"/>
  <c r="S69" i="25"/>
  <c r="S20" i="25"/>
  <c r="S43" i="25"/>
  <c r="S50" i="25"/>
  <c r="S23" i="25"/>
  <c r="S46" i="25"/>
  <c r="S15" i="25"/>
  <c r="S100" i="25"/>
  <c r="S31" i="25"/>
  <c r="S34" i="25"/>
  <c r="S86" i="25"/>
  <c r="S14" i="25"/>
  <c r="S18" i="25"/>
  <c r="S22" i="25"/>
  <c r="S26" i="25"/>
  <c r="S30" i="25"/>
  <c r="S35" i="25"/>
  <c r="S39" i="25"/>
  <c r="S62" i="25"/>
  <c r="S101" i="25"/>
  <c r="S27" i="25"/>
  <c r="S36" i="25"/>
  <c r="S38" i="25"/>
  <c r="S37" i="25"/>
  <c r="S44" i="25"/>
  <c r="S87" i="25"/>
  <c r="S48" i="25"/>
  <c r="S63" i="25"/>
  <c r="S68" i="25"/>
  <c r="S40" i="25"/>
  <c r="S41" i="25"/>
  <c r="S52" i="25"/>
  <c r="S84" i="25"/>
  <c r="S56" i="25"/>
  <c r="S72" i="25"/>
  <c r="S82" i="25"/>
  <c r="S83" i="25"/>
  <c r="S98" i="25"/>
  <c r="S99" i="25"/>
  <c r="S66" i="25"/>
  <c r="S80" i="25"/>
  <c r="S81" i="25"/>
  <c r="S96" i="25"/>
  <c r="S97" i="25"/>
  <c r="S60" i="25"/>
  <c r="S78" i="25"/>
  <c r="S79" i="25"/>
  <c r="S94" i="25"/>
  <c r="S95" i="25"/>
  <c r="S57" i="25"/>
  <c r="S70" i="25"/>
  <c r="S73" i="25"/>
  <c r="S76" i="25"/>
  <c r="S77" i="25"/>
  <c r="S92" i="25"/>
  <c r="S93" i="25"/>
  <c r="S64" i="25"/>
  <c r="S74" i="25"/>
  <c r="S75" i="25"/>
  <c r="S90" i="25"/>
  <c r="S91" i="25"/>
  <c r="S58" i="25"/>
  <c r="S88" i="25"/>
  <c r="S89" i="25"/>
  <c r="S31" i="24"/>
  <c r="D31" i="24"/>
  <c r="J14" i="24"/>
  <c r="S20" i="24"/>
  <c r="S24" i="24"/>
  <c r="S28" i="24"/>
  <c r="S32" i="24"/>
  <c r="D35" i="24"/>
  <c r="S35" i="24"/>
  <c r="S15" i="24"/>
  <c r="S23" i="24"/>
  <c r="S39" i="24"/>
  <c r="D39" i="24"/>
  <c r="S43" i="24"/>
  <c r="S14" i="24"/>
  <c r="D16" i="24"/>
  <c r="S18" i="24"/>
  <c r="D20" i="24"/>
  <c r="S22" i="24"/>
  <c r="D24" i="24"/>
  <c r="S26" i="24"/>
  <c r="D28" i="24"/>
  <c r="S30" i="24"/>
  <c r="D32" i="24"/>
  <c r="S34" i="24"/>
  <c r="D36" i="24"/>
  <c r="S38" i="24"/>
  <c r="D40" i="24"/>
  <c r="S42" i="24"/>
  <c r="S39" i="19"/>
  <c r="S35" i="19"/>
  <c r="S31" i="19"/>
  <c r="S27" i="19"/>
  <c r="S23" i="19"/>
  <c r="S19" i="19"/>
  <c r="D84" i="23"/>
  <c r="J84" i="23" s="1"/>
  <c r="D108" i="23"/>
  <c r="J108" i="23" s="1"/>
  <c r="D76" i="23"/>
  <c r="J76" i="23" s="1"/>
  <c r="D98" i="23"/>
  <c r="K98" i="23" s="1"/>
  <c r="D100" i="23"/>
  <c r="J100" i="23" s="1"/>
  <c r="S130" i="23"/>
  <c r="D122" i="23"/>
  <c r="J122" i="23" s="1"/>
  <c r="D94" i="23"/>
  <c r="K94" i="23" s="1"/>
  <c r="D116" i="23"/>
  <c r="J116" i="23" s="1"/>
  <c r="D124" i="23"/>
  <c r="J124" i="23" s="1"/>
  <c r="D132" i="23"/>
  <c r="J132" i="23" s="1"/>
  <c r="D133" i="23"/>
  <c r="C75" i="23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D79" i="23"/>
  <c r="J79" i="23" s="1"/>
  <c r="S98" i="23"/>
  <c r="S104" i="23"/>
  <c r="D114" i="23"/>
  <c r="S120" i="23"/>
  <c r="S64" i="23"/>
  <c r="S72" i="23"/>
  <c r="D80" i="23"/>
  <c r="J80" i="23" s="1"/>
  <c r="S114" i="23"/>
  <c r="D75" i="23"/>
  <c r="J75" i="23" s="1"/>
  <c r="D110" i="23"/>
  <c r="K110" i="23" s="1"/>
  <c r="D126" i="23"/>
  <c r="D83" i="23"/>
  <c r="J83" i="23" s="1"/>
  <c r="D90" i="23"/>
  <c r="D106" i="23"/>
  <c r="S112" i="23"/>
  <c r="S122" i="23"/>
  <c r="S128" i="23"/>
  <c r="D102" i="23"/>
  <c r="D118" i="23"/>
  <c r="K118" i="23" s="1"/>
  <c r="D130" i="23"/>
  <c r="K130" i="23" s="1"/>
  <c r="S74" i="23"/>
  <c r="D74" i="23"/>
  <c r="S82" i="23"/>
  <c r="D82" i="23"/>
  <c r="K75" i="23"/>
  <c r="S78" i="23"/>
  <c r="D78" i="23"/>
  <c r="S96" i="23"/>
  <c r="D96" i="23"/>
  <c r="S85" i="23"/>
  <c r="D85" i="23"/>
  <c r="S77" i="23"/>
  <c r="D77" i="23"/>
  <c r="S81" i="23"/>
  <c r="D81" i="23"/>
  <c r="S88" i="23"/>
  <c r="D88" i="23"/>
  <c r="D86" i="23"/>
  <c r="S86" i="23"/>
  <c r="D91" i="23"/>
  <c r="S91" i="23"/>
  <c r="S101" i="23"/>
  <c r="D101" i="23"/>
  <c r="D123" i="23"/>
  <c r="S123" i="23"/>
  <c r="S76" i="23"/>
  <c r="S80" i="23"/>
  <c r="S84" i="23"/>
  <c r="S92" i="23"/>
  <c r="S102" i="23"/>
  <c r="D103" i="23"/>
  <c r="S103" i="23"/>
  <c r="D112" i="23"/>
  <c r="S113" i="23"/>
  <c r="D113" i="23"/>
  <c r="S124" i="23"/>
  <c r="D99" i="23"/>
  <c r="S99" i="23"/>
  <c r="S93" i="23"/>
  <c r="D93" i="23"/>
  <c r="D115" i="23"/>
  <c r="S115" i="23"/>
  <c r="S125" i="23"/>
  <c r="D125" i="23"/>
  <c r="S75" i="23"/>
  <c r="S79" i="23"/>
  <c r="S83" i="23"/>
  <c r="S94" i="23"/>
  <c r="D95" i="23"/>
  <c r="S95" i="23"/>
  <c r="D104" i="23"/>
  <c r="S105" i="23"/>
  <c r="D105" i="23"/>
  <c r="S116" i="23"/>
  <c r="S126" i="23"/>
  <c r="D127" i="23"/>
  <c r="S127" i="23"/>
  <c r="D107" i="23"/>
  <c r="S107" i="23"/>
  <c r="S117" i="23"/>
  <c r="D117" i="23"/>
  <c r="D87" i="23"/>
  <c r="S87" i="23"/>
  <c r="S97" i="23"/>
  <c r="D97" i="23"/>
  <c r="S108" i="23"/>
  <c r="S118" i="23"/>
  <c r="D119" i="23"/>
  <c r="S119" i="23"/>
  <c r="D128" i="23"/>
  <c r="S129" i="23"/>
  <c r="D129" i="23"/>
  <c r="D131" i="23"/>
  <c r="S131" i="23"/>
  <c r="S109" i="23"/>
  <c r="D109" i="23"/>
  <c r="S89" i="23"/>
  <c r="D89" i="23"/>
  <c r="S100" i="23"/>
  <c r="S110" i="23"/>
  <c r="D111" i="23"/>
  <c r="S111" i="23"/>
  <c r="D120" i="23"/>
  <c r="S121" i="23"/>
  <c r="D121" i="23"/>
  <c r="S132" i="23"/>
  <c r="S133" i="23"/>
  <c r="S67" i="23"/>
  <c r="S63" i="23"/>
  <c r="S71" i="23"/>
  <c r="D49" i="23"/>
  <c r="D65" i="23"/>
  <c r="K65" i="23" s="1"/>
  <c r="D45" i="23"/>
  <c r="D57" i="23"/>
  <c r="J57" i="23" s="1"/>
  <c r="D58" i="23"/>
  <c r="J58" i="23" s="1"/>
  <c r="D46" i="23"/>
  <c r="K46" i="23" s="1"/>
  <c r="D53" i="23"/>
  <c r="D61" i="23"/>
  <c r="K61" i="23" s="1"/>
  <c r="D69" i="23"/>
  <c r="K69" i="23" s="1"/>
  <c r="D50" i="23"/>
  <c r="K50" i="23" s="1"/>
  <c r="D73" i="23"/>
  <c r="K73" i="23" s="1"/>
  <c r="D66" i="23"/>
  <c r="K66" i="23" s="1"/>
  <c r="D54" i="23"/>
  <c r="J54" i="23" s="1"/>
  <c r="D62" i="23"/>
  <c r="K62" i="23" s="1"/>
  <c r="D70" i="23"/>
  <c r="K70" i="23" s="1"/>
  <c r="S52" i="23"/>
  <c r="D52" i="23"/>
  <c r="S48" i="23"/>
  <c r="D48" i="23"/>
  <c r="E45" i="23"/>
  <c r="H45" i="23" s="1"/>
  <c r="S55" i="23"/>
  <c r="D55" i="23"/>
  <c r="M45" i="23"/>
  <c r="S47" i="23"/>
  <c r="D47" i="23"/>
  <c r="S51" i="23"/>
  <c r="D51" i="23"/>
  <c r="S56" i="23"/>
  <c r="S59" i="23"/>
  <c r="D59" i="23"/>
  <c r="S46" i="23"/>
  <c r="S50" i="23"/>
  <c r="S54" i="23"/>
  <c r="D56" i="23"/>
  <c r="S58" i="23"/>
  <c r="D60" i="23"/>
  <c r="S62" i="23"/>
  <c r="D64" i="23"/>
  <c r="S66" i="23"/>
  <c r="D68" i="23"/>
  <c r="S70" i="23"/>
  <c r="D72" i="23"/>
  <c r="S45" i="23"/>
  <c r="S49" i="23"/>
  <c r="S53" i="23"/>
  <c r="S57" i="23"/>
  <c r="S61" i="23"/>
  <c r="D63" i="23"/>
  <c r="S65" i="23"/>
  <c r="D67" i="23"/>
  <c r="S69" i="23"/>
  <c r="D71" i="23"/>
  <c r="S73" i="23"/>
  <c r="R14" i="19"/>
  <c r="S15" i="19" s="1"/>
  <c r="R43" i="19"/>
  <c r="S43" i="19" s="1"/>
  <c r="R13" i="19"/>
  <c r="D13" i="19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E143" i="20"/>
  <c r="E144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3" i="20"/>
  <c r="G2" i="20"/>
  <c r="K39" i="24" l="1"/>
  <c r="J39" i="24"/>
  <c r="K23" i="24"/>
  <c r="J23" i="24"/>
  <c r="J41" i="24"/>
  <c r="K41" i="24"/>
  <c r="K19" i="24"/>
  <c r="J19" i="24"/>
  <c r="K32" i="24"/>
  <c r="J32" i="24"/>
  <c r="K16" i="24"/>
  <c r="J16" i="24"/>
  <c r="J33" i="24"/>
  <c r="K33" i="24"/>
  <c r="K36" i="24"/>
  <c r="J36" i="24"/>
  <c r="K28" i="24"/>
  <c r="J28" i="24"/>
  <c r="K20" i="24"/>
  <c r="J20" i="24"/>
  <c r="K35" i="24"/>
  <c r="J35" i="24"/>
  <c r="G7" i="24"/>
  <c r="K31" i="24"/>
  <c r="J31" i="24"/>
  <c r="K30" i="24"/>
  <c r="J30" i="24"/>
  <c r="K42" i="24"/>
  <c r="J42" i="24"/>
  <c r="J21" i="24"/>
  <c r="K21" i="24"/>
  <c r="J29" i="24"/>
  <c r="K29" i="24"/>
  <c r="J17" i="24"/>
  <c r="K17" i="24"/>
  <c r="K22" i="24"/>
  <c r="J22" i="24"/>
  <c r="K26" i="24"/>
  <c r="J26" i="24"/>
  <c r="K40" i="24"/>
  <c r="J40" i="24"/>
  <c r="K24" i="24"/>
  <c r="J24" i="24"/>
  <c r="J25" i="24"/>
  <c r="K25" i="24"/>
  <c r="K18" i="24"/>
  <c r="J18" i="24"/>
  <c r="F43" i="24"/>
  <c r="M14" i="24"/>
  <c r="E14" i="24"/>
  <c r="K45" i="23"/>
  <c r="D137" i="23"/>
  <c r="K34" i="24"/>
  <c r="J34" i="24"/>
  <c r="K15" i="24"/>
  <c r="J15" i="24"/>
  <c r="K27" i="24"/>
  <c r="J27" i="24"/>
  <c r="K38" i="24"/>
  <c r="J38" i="24"/>
  <c r="J110" i="23"/>
  <c r="K100" i="23"/>
  <c r="D30" i="19"/>
  <c r="J30" i="19" s="1"/>
  <c r="M13" i="19"/>
  <c r="K79" i="23"/>
  <c r="J98" i="23"/>
  <c r="D25" i="19"/>
  <c r="D41" i="19"/>
  <c r="K41" i="19" s="1"/>
  <c r="D19" i="19"/>
  <c r="K19" i="19" s="1"/>
  <c r="D24" i="19"/>
  <c r="D40" i="19"/>
  <c r="D16" i="19"/>
  <c r="D20" i="19"/>
  <c r="D36" i="19"/>
  <c r="D32" i="19"/>
  <c r="D28" i="19"/>
  <c r="D26" i="19"/>
  <c r="D35" i="19"/>
  <c r="D31" i="19"/>
  <c r="D27" i="19"/>
  <c r="D22" i="19"/>
  <c r="D17" i="19"/>
  <c r="J17" i="19" s="1"/>
  <c r="D33" i="19"/>
  <c r="D18" i="19"/>
  <c r="D38" i="19"/>
  <c r="D29" i="19"/>
  <c r="J29" i="19" s="1"/>
  <c r="D42" i="19"/>
  <c r="D39" i="19"/>
  <c r="D23" i="19"/>
  <c r="D21" i="19"/>
  <c r="K21" i="19" s="1"/>
  <c r="D37" i="19"/>
  <c r="J37" i="19" s="1"/>
  <c r="D15" i="19"/>
  <c r="D34" i="19"/>
  <c r="K108" i="23"/>
  <c r="K122" i="23"/>
  <c r="K116" i="23"/>
  <c r="K84" i="23"/>
  <c r="K76" i="23"/>
  <c r="K132" i="23"/>
  <c r="J73" i="23"/>
  <c r="K92" i="23"/>
  <c r="K80" i="23"/>
  <c r="D53" i="25"/>
  <c r="J53" i="25" s="1"/>
  <c r="D22" i="25"/>
  <c r="K22" i="25" s="1"/>
  <c r="D124" i="25"/>
  <c r="K124" i="25" s="1"/>
  <c r="D113" i="25"/>
  <c r="K113" i="25" s="1"/>
  <c r="D68" i="25"/>
  <c r="K68" i="25" s="1"/>
  <c r="D23" i="25"/>
  <c r="D69" i="25"/>
  <c r="K69" i="25" s="1"/>
  <c r="D81" i="25"/>
  <c r="K81" i="25" s="1"/>
  <c r="D34" i="25"/>
  <c r="J34" i="25" s="1"/>
  <c r="D49" i="25"/>
  <c r="J49" i="25" s="1"/>
  <c r="D127" i="25"/>
  <c r="J127" i="25" s="1"/>
  <c r="D130" i="25"/>
  <c r="J130" i="25" s="1"/>
  <c r="D105" i="25"/>
  <c r="K105" i="25" s="1"/>
  <c r="D90" i="25"/>
  <c r="D56" i="25"/>
  <c r="K56" i="25" s="1"/>
  <c r="D59" i="25"/>
  <c r="K59" i="25" s="1"/>
  <c r="J21" i="25"/>
  <c r="D87" i="25"/>
  <c r="K87" i="25" s="1"/>
  <c r="D85" i="25"/>
  <c r="K85" i="25" s="1"/>
  <c r="D97" i="25"/>
  <c r="J97" i="25" s="1"/>
  <c r="D71" i="25"/>
  <c r="D30" i="25"/>
  <c r="K30" i="25" s="1"/>
  <c r="D131" i="25"/>
  <c r="J131" i="25" s="1"/>
  <c r="D126" i="25"/>
  <c r="K126" i="25" s="1"/>
  <c r="D108" i="25"/>
  <c r="D118" i="25"/>
  <c r="D92" i="25"/>
  <c r="K92" i="25" s="1"/>
  <c r="D66" i="25"/>
  <c r="J66" i="25" s="1"/>
  <c r="D28" i="25"/>
  <c r="D55" i="25"/>
  <c r="D103" i="25"/>
  <c r="J103" i="25" s="1"/>
  <c r="D117" i="25"/>
  <c r="D96" i="25"/>
  <c r="J96" i="25" s="1"/>
  <c r="D44" i="25"/>
  <c r="K44" i="25" s="1"/>
  <c r="D19" i="25"/>
  <c r="K19" i="25" s="1"/>
  <c r="D24" i="25"/>
  <c r="J24" i="25" s="1"/>
  <c r="D101" i="25"/>
  <c r="J101" i="25" s="1"/>
  <c r="D67" i="25"/>
  <c r="D75" i="25"/>
  <c r="J75" i="25" s="1"/>
  <c r="D33" i="25"/>
  <c r="K33" i="25" s="1"/>
  <c r="D29" i="25"/>
  <c r="D122" i="25"/>
  <c r="J122" i="25" s="1"/>
  <c r="D121" i="25"/>
  <c r="K121" i="25" s="1"/>
  <c r="D112" i="25"/>
  <c r="K112" i="25" s="1"/>
  <c r="D72" i="25"/>
  <c r="K72" i="25" s="1"/>
  <c r="D93" i="25"/>
  <c r="D107" i="25"/>
  <c r="K107" i="25" s="1"/>
  <c r="D15" i="25"/>
  <c r="K15" i="25" s="1"/>
  <c r="D76" i="25"/>
  <c r="J76" i="25" s="1"/>
  <c r="D54" i="25"/>
  <c r="K54" i="25" s="1"/>
  <c r="D62" i="25"/>
  <c r="K62" i="25" s="1"/>
  <c r="D91" i="25"/>
  <c r="J91" i="25" s="1"/>
  <c r="D89" i="25"/>
  <c r="K89" i="25" s="1"/>
  <c r="D104" i="25"/>
  <c r="D74" i="25"/>
  <c r="J74" i="25" s="1"/>
  <c r="D50" i="25"/>
  <c r="K50" i="25" s="1"/>
  <c r="D51" i="25"/>
  <c r="J51" i="25" s="1"/>
  <c r="D48" i="25"/>
  <c r="K48" i="25" s="1"/>
  <c r="D39" i="25"/>
  <c r="K39" i="25" s="1"/>
  <c r="D20" i="25"/>
  <c r="J20" i="25" s="1"/>
  <c r="D83" i="25"/>
  <c r="K83" i="25" s="1"/>
  <c r="D95" i="25"/>
  <c r="D100" i="25"/>
  <c r="K100" i="25" s="1"/>
  <c r="D26" i="25"/>
  <c r="K26" i="25" s="1"/>
  <c r="D35" i="25"/>
  <c r="J35" i="25" s="1"/>
  <c r="D128" i="25"/>
  <c r="K128" i="25" s="1"/>
  <c r="D132" i="25"/>
  <c r="D114" i="25"/>
  <c r="D18" i="25"/>
  <c r="D70" i="25"/>
  <c r="D40" i="25"/>
  <c r="K40" i="25" s="1"/>
  <c r="D73" i="25"/>
  <c r="K73" i="25" s="1"/>
  <c r="D37" i="25"/>
  <c r="J37" i="25" s="1"/>
  <c r="D106" i="25"/>
  <c r="K106" i="25" s="1"/>
  <c r="D88" i="25"/>
  <c r="D98" i="25"/>
  <c r="K98" i="25" s="1"/>
  <c r="D43" i="25"/>
  <c r="J43" i="25" s="1"/>
  <c r="D79" i="25"/>
  <c r="D64" i="25"/>
  <c r="J64" i="25" s="1"/>
  <c r="D80" i="25"/>
  <c r="J80" i="25" s="1"/>
  <c r="D46" i="25"/>
  <c r="J46" i="25" s="1"/>
  <c r="D47" i="25"/>
  <c r="J47" i="25" s="1"/>
  <c r="D99" i="25"/>
  <c r="K99" i="25" s="1"/>
  <c r="D61" i="25"/>
  <c r="K61" i="25" s="1"/>
  <c r="D86" i="25"/>
  <c r="K86" i="25" s="1"/>
  <c r="D14" i="25"/>
  <c r="G7" i="25" s="1"/>
  <c r="D17" i="25"/>
  <c r="K17" i="25" s="1"/>
  <c r="D111" i="25"/>
  <c r="J111" i="25" s="1"/>
  <c r="D125" i="25"/>
  <c r="J125" i="25" s="1"/>
  <c r="D116" i="25"/>
  <c r="D31" i="25"/>
  <c r="D102" i="25"/>
  <c r="J102" i="25" s="1"/>
  <c r="D60" i="25"/>
  <c r="K60" i="25" s="1"/>
  <c r="D84" i="25"/>
  <c r="D41" i="25"/>
  <c r="J41" i="25" s="1"/>
  <c r="D120" i="25"/>
  <c r="J120" i="25" s="1"/>
  <c r="D94" i="25"/>
  <c r="J94" i="25" s="1"/>
  <c r="D52" i="25"/>
  <c r="K52" i="25" s="1"/>
  <c r="D38" i="25"/>
  <c r="J38" i="25" s="1"/>
  <c r="D63" i="25"/>
  <c r="K63" i="25" s="1"/>
  <c r="D27" i="25"/>
  <c r="K27" i="25" s="1"/>
  <c r="D123" i="25"/>
  <c r="K123" i="25" s="1"/>
  <c r="D115" i="25"/>
  <c r="D58" i="25"/>
  <c r="K58" i="25" s="1"/>
  <c r="D78" i="25"/>
  <c r="K78" i="25" s="1"/>
  <c r="D82" i="25"/>
  <c r="K82" i="25" s="1"/>
  <c r="D42" i="25"/>
  <c r="K42" i="25" s="1"/>
  <c r="D36" i="25"/>
  <c r="J36" i="25" s="1"/>
  <c r="D32" i="25"/>
  <c r="J32" i="25" s="1"/>
  <c r="D16" i="25"/>
  <c r="D57" i="25"/>
  <c r="J57" i="25" s="1"/>
  <c r="D77" i="25"/>
  <c r="J77" i="25" s="1"/>
  <c r="D65" i="25"/>
  <c r="J65" i="25" s="1"/>
  <c r="D45" i="25"/>
  <c r="M13" i="25"/>
  <c r="M14" i="25" s="1"/>
  <c r="D129" i="25"/>
  <c r="J129" i="25" s="1"/>
  <c r="D110" i="25"/>
  <c r="J110" i="25" s="1"/>
  <c r="D109" i="25"/>
  <c r="D119" i="25"/>
  <c r="D25" i="25"/>
  <c r="K35" i="25"/>
  <c r="J105" i="25"/>
  <c r="J123" i="25"/>
  <c r="J128" i="25"/>
  <c r="J14" i="25"/>
  <c r="K14" i="25"/>
  <c r="J30" i="25"/>
  <c r="K49" i="25"/>
  <c r="K90" i="25"/>
  <c r="J90" i="25"/>
  <c r="J68" i="25"/>
  <c r="J83" i="25"/>
  <c r="J95" i="25"/>
  <c r="K95" i="25"/>
  <c r="J23" i="25"/>
  <c r="K23" i="25"/>
  <c r="K88" i="25"/>
  <c r="J88" i="25"/>
  <c r="J54" i="25"/>
  <c r="J16" i="25"/>
  <c r="K16" i="25"/>
  <c r="J19" i="25"/>
  <c r="K93" i="25"/>
  <c r="J93" i="25"/>
  <c r="K43" i="25"/>
  <c r="J28" i="25"/>
  <c r="K28" i="25"/>
  <c r="K55" i="25"/>
  <c r="J55" i="25"/>
  <c r="J82" i="25"/>
  <c r="K47" i="25"/>
  <c r="J39" i="25"/>
  <c r="K38" i="25"/>
  <c r="J87" i="25"/>
  <c r="K71" i="25"/>
  <c r="J71" i="25"/>
  <c r="J70" i="25"/>
  <c r="K70" i="25"/>
  <c r="J60" i="25"/>
  <c r="K84" i="25"/>
  <c r="J84" i="25"/>
  <c r="K101" i="25"/>
  <c r="J67" i="25"/>
  <c r="K67" i="25"/>
  <c r="J79" i="25"/>
  <c r="K79" i="25"/>
  <c r="J21" i="19"/>
  <c r="J25" i="19"/>
  <c r="K25" i="19"/>
  <c r="K29" i="19"/>
  <c r="J33" i="19"/>
  <c r="K33" i="19"/>
  <c r="J94" i="23"/>
  <c r="K124" i="23"/>
  <c r="K102" i="23"/>
  <c r="J102" i="23"/>
  <c r="J114" i="23"/>
  <c r="K114" i="23"/>
  <c r="K126" i="23"/>
  <c r="J126" i="23"/>
  <c r="J118" i="23"/>
  <c r="J106" i="23"/>
  <c r="K106" i="23"/>
  <c r="J130" i="23"/>
  <c r="K83" i="23"/>
  <c r="J90" i="23"/>
  <c r="K90" i="23"/>
  <c r="J97" i="23"/>
  <c r="K97" i="23"/>
  <c r="J121" i="23"/>
  <c r="K121" i="23"/>
  <c r="J89" i="23"/>
  <c r="K89" i="23"/>
  <c r="J128" i="23"/>
  <c r="K128" i="23"/>
  <c r="K86" i="23"/>
  <c r="J86" i="23"/>
  <c r="J125" i="23"/>
  <c r="K125" i="23"/>
  <c r="J127" i="23"/>
  <c r="K127" i="23"/>
  <c r="J95" i="23"/>
  <c r="K95" i="23"/>
  <c r="J115" i="23"/>
  <c r="K115" i="23"/>
  <c r="J113" i="23"/>
  <c r="K113" i="23"/>
  <c r="J101" i="23"/>
  <c r="K101" i="23"/>
  <c r="J99" i="23"/>
  <c r="K99" i="23"/>
  <c r="J123" i="23"/>
  <c r="K123" i="23"/>
  <c r="J120" i="23"/>
  <c r="K120" i="23"/>
  <c r="J109" i="23"/>
  <c r="K109" i="23"/>
  <c r="J87" i="23"/>
  <c r="K87" i="23"/>
  <c r="J85" i="23"/>
  <c r="K85" i="23"/>
  <c r="J129" i="23"/>
  <c r="K129" i="23"/>
  <c r="J78" i="23"/>
  <c r="K78" i="23"/>
  <c r="J119" i="23"/>
  <c r="K119" i="23"/>
  <c r="J117" i="23"/>
  <c r="K117" i="23"/>
  <c r="J93" i="23"/>
  <c r="K93" i="23"/>
  <c r="J112" i="23"/>
  <c r="K112" i="23"/>
  <c r="J88" i="23"/>
  <c r="K88" i="23"/>
  <c r="J107" i="23"/>
  <c r="K107" i="23"/>
  <c r="J103" i="23"/>
  <c r="K103" i="23"/>
  <c r="J77" i="23"/>
  <c r="K77" i="23"/>
  <c r="J105" i="23"/>
  <c r="K105" i="23"/>
  <c r="J91" i="23"/>
  <c r="K91" i="23"/>
  <c r="J82" i="23"/>
  <c r="K82" i="23"/>
  <c r="J74" i="23"/>
  <c r="K74" i="23"/>
  <c r="J104" i="23"/>
  <c r="K104" i="23"/>
  <c r="J111" i="23"/>
  <c r="K111" i="23"/>
  <c r="J131" i="23"/>
  <c r="K131" i="23"/>
  <c r="J81" i="23"/>
  <c r="K81" i="23"/>
  <c r="J96" i="23"/>
  <c r="K96" i="23"/>
  <c r="J65" i="23"/>
  <c r="J69" i="23"/>
  <c r="K58" i="23"/>
  <c r="K54" i="23"/>
  <c r="K57" i="23"/>
  <c r="J61" i="23"/>
  <c r="J66" i="23"/>
  <c r="J50" i="23"/>
  <c r="J62" i="23"/>
  <c r="J46" i="23"/>
  <c r="J70" i="23"/>
  <c r="G6" i="23"/>
  <c r="J53" i="23"/>
  <c r="K53" i="23"/>
  <c r="J45" i="23"/>
  <c r="J49" i="23"/>
  <c r="K49" i="23"/>
  <c r="K68" i="23"/>
  <c r="J68" i="23"/>
  <c r="J48" i="23"/>
  <c r="K48" i="23"/>
  <c r="J47" i="23"/>
  <c r="K47" i="23"/>
  <c r="J52" i="23"/>
  <c r="K52" i="23"/>
  <c r="N45" i="23"/>
  <c r="M46" i="23"/>
  <c r="E46" i="23"/>
  <c r="H46" i="23" s="1"/>
  <c r="K64" i="23"/>
  <c r="J64" i="23"/>
  <c r="J55" i="23"/>
  <c r="K55" i="23"/>
  <c r="J71" i="23"/>
  <c r="K71" i="23"/>
  <c r="J60" i="23"/>
  <c r="K60" i="23"/>
  <c r="J59" i="23"/>
  <c r="K59" i="23"/>
  <c r="J63" i="23"/>
  <c r="K63" i="23"/>
  <c r="J51" i="23"/>
  <c r="K51" i="23"/>
  <c r="J67" i="23"/>
  <c r="K67" i="23"/>
  <c r="G45" i="23"/>
  <c r="K72" i="23"/>
  <c r="J72" i="23"/>
  <c r="J56" i="23"/>
  <c r="K56" i="23"/>
  <c r="D14" i="19"/>
  <c r="K14" i="19" s="1"/>
  <c r="S14" i="19"/>
  <c r="D43" i="19"/>
  <c r="P44" i="19"/>
  <c r="I44" i="19"/>
  <c r="C14" i="19"/>
  <c r="C15" i="19" s="1"/>
  <c r="C16" i="19" s="1"/>
  <c r="C17" i="19" s="1"/>
  <c r="C18" i="19" s="1"/>
  <c r="F43" i="19"/>
  <c r="D5" i="19"/>
  <c r="C5" i="19"/>
  <c r="C32" i="18"/>
  <c r="E32" i="18" s="1"/>
  <c r="F32" i="18" s="1"/>
  <c r="C31" i="18"/>
  <c r="E31" i="18" s="1"/>
  <c r="F31" i="18" s="1"/>
  <c r="C30" i="18"/>
  <c r="E30" i="18"/>
  <c r="F30" i="18" s="1"/>
  <c r="C29" i="18"/>
  <c r="E29" i="18" s="1"/>
  <c r="F29" i="18" s="1"/>
  <c r="C28" i="18"/>
  <c r="E28" i="18"/>
  <c r="F28" i="18"/>
  <c r="C27" i="18"/>
  <c r="E27" i="18" s="1"/>
  <c r="F27" i="18" s="1"/>
  <c r="C26" i="18"/>
  <c r="E26" i="18"/>
  <c r="F26" i="18" s="1"/>
  <c r="C25" i="18"/>
  <c r="E25" i="18" s="1"/>
  <c r="F25" i="18" s="1"/>
  <c r="C24" i="18"/>
  <c r="E24" i="18"/>
  <c r="F24" i="18" s="1"/>
  <c r="C23" i="18"/>
  <c r="E23" i="18" s="1"/>
  <c r="F23" i="18" s="1"/>
  <c r="C22" i="18"/>
  <c r="E22" i="18"/>
  <c r="F22" i="18" s="1"/>
  <c r="C21" i="18"/>
  <c r="E21" i="18" s="1"/>
  <c r="F21" i="18" s="1"/>
  <c r="C20" i="18"/>
  <c r="E20" i="18"/>
  <c r="F20" i="18"/>
  <c r="E19" i="18"/>
  <c r="F19" i="18" s="1"/>
  <c r="C19" i="18"/>
  <c r="C18" i="18"/>
  <c r="E18" i="18"/>
  <c r="F18" i="18" s="1"/>
  <c r="C17" i="18"/>
  <c r="E17" i="18" s="1"/>
  <c r="F17" i="18" s="1"/>
  <c r="C16" i="18"/>
  <c r="E16" i="18"/>
  <c r="F16" i="18" s="1"/>
  <c r="C15" i="18"/>
  <c r="E15" i="18" s="1"/>
  <c r="F15" i="18" s="1"/>
  <c r="C14" i="18"/>
  <c r="E14" i="18"/>
  <c r="F14" i="18" s="1"/>
  <c r="C13" i="18"/>
  <c r="E13" i="18" s="1"/>
  <c r="F13" i="18" s="1"/>
  <c r="C12" i="18"/>
  <c r="E12" i="18"/>
  <c r="F12" i="18"/>
  <c r="C11" i="18"/>
  <c r="E11" i="18" s="1"/>
  <c r="F11" i="18" s="1"/>
  <c r="C10" i="18"/>
  <c r="E10" i="18"/>
  <c r="F10" i="18" s="1"/>
  <c r="C9" i="18"/>
  <c r="E9" i="18" s="1"/>
  <c r="F9" i="18" s="1"/>
  <c r="C8" i="18"/>
  <c r="E8" i="18"/>
  <c r="F8" i="18" s="1"/>
  <c r="C7" i="18"/>
  <c r="E7" i="18" s="1"/>
  <c r="F7" i="18" s="1"/>
  <c r="C6" i="18"/>
  <c r="E6" i="18"/>
  <c r="C5" i="18"/>
  <c r="E5" i="18" s="1"/>
  <c r="F5" i="18" s="1"/>
  <c r="C4" i="18"/>
  <c r="E4" i="18" s="1"/>
  <c r="F4" i="18" s="1"/>
  <c r="E3" i="18"/>
  <c r="F3" i="18" s="1"/>
  <c r="E23" i="2"/>
  <c r="E18" i="2"/>
  <c r="E19" i="2"/>
  <c r="E20" i="2"/>
  <c r="E21" i="2"/>
  <c r="E22" i="2"/>
  <c r="E17" i="2"/>
  <c r="G16" i="2"/>
  <c r="J9" i="2"/>
  <c r="J10" i="2"/>
  <c r="J11" i="2" s="1"/>
  <c r="J12" i="2" s="1"/>
  <c r="J13" i="2" s="1"/>
  <c r="J14" i="2" s="1"/>
  <c r="J15" i="2" s="1"/>
  <c r="J16" i="2" s="1"/>
  <c r="K16" i="2" s="1"/>
  <c r="D9" i="2"/>
  <c r="H15" i="2"/>
  <c r="B9" i="2"/>
  <c r="B10" i="2" s="1"/>
  <c r="B11" i="2" s="1"/>
  <c r="B12" i="2" s="1"/>
  <c r="B13" i="2" s="1"/>
  <c r="B14" i="2" s="1"/>
  <c r="B15" i="2" s="1"/>
  <c r="C2" i="2"/>
  <c r="D10" i="2"/>
  <c r="G9" i="2"/>
  <c r="F6" i="18"/>
  <c r="F9" i="2" l="1"/>
  <c r="J42" i="25"/>
  <c r="F44" i="24"/>
  <c r="K43" i="24"/>
  <c r="J43" i="24"/>
  <c r="K30" i="19"/>
  <c r="G14" i="24"/>
  <c r="H14" i="24"/>
  <c r="J62" i="25"/>
  <c r="K24" i="25"/>
  <c r="J85" i="25"/>
  <c r="J124" i="25"/>
  <c r="J121" i="25"/>
  <c r="N14" i="24"/>
  <c r="O14" i="24" s="1"/>
  <c r="M15" i="24"/>
  <c r="E15" i="24"/>
  <c r="G7" i="19"/>
  <c r="J41" i="19"/>
  <c r="J19" i="19"/>
  <c r="K17" i="19"/>
  <c r="J28" i="19"/>
  <c r="K28" i="19"/>
  <c r="J32" i="19"/>
  <c r="K32" i="19"/>
  <c r="K18" i="19"/>
  <c r="J18" i="19"/>
  <c r="J43" i="19"/>
  <c r="K23" i="19"/>
  <c r="J23" i="19"/>
  <c r="J36" i="19"/>
  <c r="K36" i="19"/>
  <c r="K39" i="19"/>
  <c r="J39" i="19"/>
  <c r="J22" i="19"/>
  <c r="K22" i="19"/>
  <c r="J20" i="19"/>
  <c r="K20" i="19"/>
  <c r="K38" i="19"/>
  <c r="J38" i="19"/>
  <c r="J14" i="19"/>
  <c r="K37" i="19"/>
  <c r="J27" i="19"/>
  <c r="K27" i="19"/>
  <c r="K16" i="19"/>
  <c r="J16" i="19"/>
  <c r="K26" i="19"/>
  <c r="J26" i="19"/>
  <c r="K42" i="19"/>
  <c r="J42" i="19"/>
  <c r="K31" i="19"/>
  <c r="J31" i="19"/>
  <c r="J40" i="19"/>
  <c r="K40" i="19"/>
  <c r="K15" i="19"/>
  <c r="J15" i="19"/>
  <c r="K34" i="19"/>
  <c r="J34" i="19"/>
  <c r="K35" i="19"/>
  <c r="J35" i="19"/>
  <c r="J24" i="19"/>
  <c r="K24" i="19"/>
  <c r="K103" i="25"/>
  <c r="K41" i="25"/>
  <c r="J40" i="25"/>
  <c r="K57" i="25"/>
  <c r="K75" i="25"/>
  <c r="K131" i="25"/>
  <c r="K120" i="25"/>
  <c r="J17" i="25"/>
  <c r="J73" i="25"/>
  <c r="J56" i="25"/>
  <c r="J107" i="25"/>
  <c r="J100" i="25"/>
  <c r="K74" i="25"/>
  <c r="K111" i="25"/>
  <c r="K77" i="25"/>
  <c r="J26" i="25"/>
  <c r="J33" i="25"/>
  <c r="K37" i="25"/>
  <c r="J81" i="25"/>
  <c r="E14" i="25"/>
  <c r="G14" i="25" s="1"/>
  <c r="J92" i="25"/>
  <c r="J69" i="25"/>
  <c r="K80" i="25"/>
  <c r="K127" i="25"/>
  <c r="J27" i="25"/>
  <c r="K64" i="25"/>
  <c r="K51" i="25"/>
  <c r="J99" i="25"/>
  <c r="J59" i="25"/>
  <c r="J126" i="25"/>
  <c r="J58" i="25"/>
  <c r="J50" i="25"/>
  <c r="J15" i="25"/>
  <c r="K46" i="25"/>
  <c r="K34" i="25"/>
  <c r="K76" i="25"/>
  <c r="K20" i="25"/>
  <c r="K45" i="25"/>
  <c r="J45" i="25"/>
  <c r="K118" i="25"/>
  <c r="J118" i="25"/>
  <c r="K129" i="25"/>
  <c r="K130" i="25"/>
  <c r="K29" i="25"/>
  <c r="J29" i="25"/>
  <c r="J78" i="25"/>
  <c r="J48" i="25"/>
  <c r="J44" i="25"/>
  <c r="K32" i="25"/>
  <c r="J86" i="25"/>
  <c r="K36" i="25"/>
  <c r="J106" i="25"/>
  <c r="K25" i="25"/>
  <c r="J25" i="25"/>
  <c r="K117" i="25"/>
  <c r="J117" i="25"/>
  <c r="J72" i="25"/>
  <c r="K97" i="25"/>
  <c r="K53" i="25"/>
  <c r="K65" i="25"/>
  <c r="K94" i="25"/>
  <c r="K96" i="25"/>
  <c r="K122" i="25"/>
  <c r="K125" i="25"/>
  <c r="K110" i="25"/>
  <c r="J89" i="25"/>
  <c r="K119" i="25"/>
  <c r="J119" i="25"/>
  <c r="K115" i="25"/>
  <c r="J115" i="25"/>
  <c r="J98" i="25"/>
  <c r="J113" i="25"/>
  <c r="J116" i="25"/>
  <c r="K116" i="25"/>
  <c r="K91" i="25"/>
  <c r="J63" i="25"/>
  <c r="K66" i="25"/>
  <c r="J52" i="25"/>
  <c r="J61" i="25"/>
  <c r="J112" i="25"/>
  <c r="K109" i="25"/>
  <c r="J109" i="25"/>
  <c r="J104" i="25"/>
  <c r="K104" i="25"/>
  <c r="J22" i="25"/>
  <c r="K18" i="25"/>
  <c r="J18" i="25"/>
  <c r="K114" i="25"/>
  <c r="J114" i="25"/>
  <c r="K102" i="25"/>
  <c r="J31" i="25"/>
  <c r="K31" i="25"/>
  <c r="J108" i="25"/>
  <c r="K108" i="25"/>
  <c r="M15" i="25"/>
  <c r="N14" i="25"/>
  <c r="O14" i="25" s="1"/>
  <c r="E15" i="25"/>
  <c r="J44" i="24"/>
  <c r="K44" i="24"/>
  <c r="C19" i="19"/>
  <c r="L45" i="23"/>
  <c r="Q45" i="23"/>
  <c r="G46" i="23"/>
  <c r="N46" i="23"/>
  <c r="O46" i="23" s="1"/>
  <c r="M47" i="23"/>
  <c r="E47" i="23"/>
  <c r="H47" i="23" s="1"/>
  <c r="O45" i="23"/>
  <c r="M14" i="19"/>
  <c r="E14" i="19"/>
  <c r="H14" i="19" s="1"/>
  <c r="Q14" i="19" s="1"/>
  <c r="K43" i="19"/>
  <c r="F44" i="19"/>
  <c r="F33" i="18"/>
  <c r="D11" i="2"/>
  <c r="F10" i="2"/>
  <c r="G10" i="2"/>
  <c r="E10" i="2"/>
  <c r="E33" i="18"/>
  <c r="E9" i="2"/>
  <c r="E24" i="2"/>
  <c r="E25" i="2" s="1"/>
  <c r="M16" i="24" l="1"/>
  <c r="N15" i="24"/>
  <c r="O15" i="24" s="1"/>
  <c r="E16" i="24"/>
  <c r="G15" i="24"/>
  <c r="H15" i="24"/>
  <c r="Q14" i="24"/>
  <c r="L14" i="24"/>
  <c r="E15" i="19"/>
  <c r="M15" i="19"/>
  <c r="H14" i="25"/>
  <c r="L14" i="25" s="1"/>
  <c r="N15" i="25"/>
  <c r="O15" i="25" s="1"/>
  <c r="E16" i="25"/>
  <c r="M16" i="25"/>
  <c r="G15" i="25"/>
  <c r="H15" i="25"/>
  <c r="C20" i="19"/>
  <c r="K44" i="19"/>
  <c r="Q46" i="23"/>
  <c r="L46" i="23"/>
  <c r="G47" i="23"/>
  <c r="N47" i="23"/>
  <c r="E48" i="23"/>
  <c r="H48" i="23" s="1"/>
  <c r="M48" i="23"/>
  <c r="N14" i="19"/>
  <c r="O14" i="19" s="1"/>
  <c r="G14" i="19"/>
  <c r="L14" i="19"/>
  <c r="J44" i="19"/>
  <c r="D12" i="2"/>
  <c r="G11" i="2"/>
  <c r="E11" i="2"/>
  <c r="F11" i="2"/>
  <c r="H16" i="24" l="1"/>
  <c r="G16" i="24"/>
  <c r="L15" i="24"/>
  <c r="Q15" i="24"/>
  <c r="N16" i="24"/>
  <c r="O16" i="24" s="1"/>
  <c r="M17" i="24"/>
  <c r="E17" i="24"/>
  <c r="M16" i="19"/>
  <c r="E16" i="19"/>
  <c r="N15" i="19"/>
  <c r="O15" i="19" s="1"/>
  <c r="G15" i="19"/>
  <c r="H15" i="19"/>
  <c r="Q14" i="25"/>
  <c r="H16" i="25"/>
  <c r="G16" i="25"/>
  <c r="L15" i="25"/>
  <c r="Q15" i="25"/>
  <c r="E17" i="25"/>
  <c r="M17" i="25"/>
  <c r="N16" i="25"/>
  <c r="O16" i="25" s="1"/>
  <c r="C21" i="19"/>
  <c r="Q47" i="23"/>
  <c r="L47" i="23"/>
  <c r="N48" i="23"/>
  <c r="O48" i="23" s="1"/>
  <c r="E49" i="23"/>
  <c r="H49" i="23" s="1"/>
  <c r="M49" i="23"/>
  <c r="G48" i="23"/>
  <c r="O47" i="23"/>
  <c r="E12" i="2"/>
  <c r="G12" i="2"/>
  <c r="D13" i="2"/>
  <c r="F12" i="2"/>
  <c r="M18" i="24" l="1"/>
  <c r="N17" i="24"/>
  <c r="O17" i="24" s="1"/>
  <c r="E18" i="24"/>
  <c r="L16" i="24"/>
  <c r="Q16" i="24"/>
  <c r="G17" i="24"/>
  <c r="H17" i="24"/>
  <c r="M17" i="19"/>
  <c r="E17" i="19"/>
  <c r="N16" i="19"/>
  <c r="O16" i="19" s="1"/>
  <c r="Q15" i="19"/>
  <c r="L15" i="19"/>
  <c r="G16" i="19"/>
  <c r="H16" i="19"/>
  <c r="L16" i="25"/>
  <c r="Q16" i="25"/>
  <c r="N17" i="25"/>
  <c r="O17" i="25" s="1"/>
  <c r="E18" i="25"/>
  <c r="M18" i="25"/>
  <c r="H17" i="25"/>
  <c r="G17" i="25"/>
  <c r="C22" i="19"/>
  <c r="N49" i="23"/>
  <c r="M50" i="23"/>
  <c r="E50" i="23"/>
  <c r="H50" i="23" s="1"/>
  <c r="G49" i="23"/>
  <c r="L48" i="23"/>
  <c r="Q48" i="23"/>
  <c r="D14" i="2"/>
  <c r="G13" i="2"/>
  <c r="F13" i="2"/>
  <c r="E13" i="2"/>
  <c r="L17" i="24" l="1"/>
  <c r="Q17" i="24"/>
  <c r="G18" i="24"/>
  <c r="H18" i="24"/>
  <c r="N18" i="24"/>
  <c r="O18" i="24" s="1"/>
  <c r="M19" i="24"/>
  <c r="E19" i="24"/>
  <c r="M18" i="19"/>
  <c r="N17" i="19"/>
  <c r="O17" i="19" s="1"/>
  <c r="E18" i="19"/>
  <c r="Q16" i="19"/>
  <c r="L16" i="19"/>
  <c r="G17" i="19"/>
  <c r="H17" i="19"/>
  <c r="N18" i="25"/>
  <c r="O18" i="25" s="1"/>
  <c r="E19" i="25"/>
  <c r="M19" i="25"/>
  <c r="Q17" i="25"/>
  <c r="L17" i="25"/>
  <c r="G18" i="25"/>
  <c r="H18" i="25"/>
  <c r="C23" i="19"/>
  <c r="L49" i="23"/>
  <c r="Q49" i="23"/>
  <c r="N50" i="23"/>
  <c r="O50" i="23" s="1"/>
  <c r="M51" i="23"/>
  <c r="E51" i="23"/>
  <c r="H51" i="23" s="1"/>
  <c r="G50" i="23"/>
  <c r="O49" i="23"/>
  <c r="E14" i="2"/>
  <c r="D15" i="2"/>
  <c r="F14" i="2"/>
  <c r="G14" i="2"/>
  <c r="G19" i="24" l="1"/>
  <c r="H19" i="24"/>
  <c r="L18" i="24"/>
  <c r="Q18" i="24"/>
  <c r="M20" i="24"/>
  <c r="N19" i="24"/>
  <c r="O19" i="24" s="1"/>
  <c r="E20" i="24"/>
  <c r="L17" i="19"/>
  <c r="Q17" i="19"/>
  <c r="G18" i="19"/>
  <c r="H18" i="19"/>
  <c r="M19" i="19"/>
  <c r="N18" i="19"/>
  <c r="O18" i="19" s="1"/>
  <c r="E19" i="19"/>
  <c r="E20" i="25"/>
  <c r="M20" i="25"/>
  <c r="N19" i="25"/>
  <c r="O19" i="25" s="1"/>
  <c r="Q18" i="25"/>
  <c r="L18" i="25"/>
  <c r="H19" i="25"/>
  <c r="G19" i="25"/>
  <c r="C24" i="19"/>
  <c r="G51" i="23"/>
  <c r="Q50" i="23"/>
  <c r="L50" i="23"/>
  <c r="N51" i="23"/>
  <c r="O51" i="23" s="1"/>
  <c r="E52" i="23"/>
  <c r="H52" i="23" s="1"/>
  <c r="M52" i="23"/>
  <c r="G15" i="2"/>
  <c r="F15" i="2"/>
  <c r="E15" i="2"/>
  <c r="I15" i="2" s="1"/>
  <c r="G20" i="24" l="1"/>
  <c r="H20" i="24"/>
  <c r="L19" i="24"/>
  <c r="Q19" i="24"/>
  <c r="N20" i="24"/>
  <c r="O20" i="24" s="1"/>
  <c r="M21" i="24"/>
  <c r="E21" i="24"/>
  <c r="G19" i="19"/>
  <c r="H19" i="19"/>
  <c r="N19" i="19"/>
  <c r="O19" i="19" s="1"/>
  <c r="M20" i="19"/>
  <c r="E20" i="19"/>
  <c r="L18" i="19"/>
  <c r="Q18" i="19"/>
  <c r="N20" i="25"/>
  <c r="O20" i="25" s="1"/>
  <c r="M21" i="25"/>
  <c r="E21" i="25"/>
  <c r="L19" i="25"/>
  <c r="Q19" i="25"/>
  <c r="G20" i="25"/>
  <c r="H20" i="25"/>
  <c r="C25" i="19"/>
  <c r="E53" i="23"/>
  <c r="H53" i="23" s="1"/>
  <c r="N52" i="23"/>
  <c r="O52" i="23" s="1"/>
  <c r="M53" i="23"/>
  <c r="G52" i="23"/>
  <c r="Q51" i="23"/>
  <c r="L51" i="23"/>
  <c r="N21" i="24" l="1"/>
  <c r="O21" i="24" s="1"/>
  <c r="M22" i="24"/>
  <c r="E22" i="24"/>
  <c r="L20" i="24"/>
  <c r="Q20" i="24"/>
  <c r="G21" i="24"/>
  <c r="H21" i="24"/>
  <c r="H20" i="19"/>
  <c r="G20" i="19"/>
  <c r="M21" i="19"/>
  <c r="N20" i="19"/>
  <c r="O20" i="19" s="1"/>
  <c r="E21" i="19"/>
  <c r="Q19" i="19"/>
  <c r="L19" i="19"/>
  <c r="L20" i="25"/>
  <c r="Q20" i="25"/>
  <c r="M22" i="25"/>
  <c r="E22" i="25"/>
  <c r="N21" i="25"/>
  <c r="O21" i="25" s="1"/>
  <c r="H21" i="25"/>
  <c r="G21" i="25"/>
  <c r="C26" i="19"/>
  <c r="L52" i="23"/>
  <c r="Q52" i="23"/>
  <c r="N53" i="23"/>
  <c r="O53" i="23" s="1"/>
  <c r="M54" i="23"/>
  <c r="E54" i="23"/>
  <c r="H54" i="23" s="1"/>
  <c r="G53" i="23"/>
  <c r="L21" i="24" l="1"/>
  <c r="Q21" i="24"/>
  <c r="M23" i="24"/>
  <c r="N22" i="24"/>
  <c r="O22" i="24" s="1"/>
  <c r="E23" i="24"/>
  <c r="H22" i="24"/>
  <c r="G22" i="24"/>
  <c r="H21" i="19"/>
  <c r="G21" i="19"/>
  <c r="N21" i="19"/>
  <c r="O21" i="19" s="1"/>
  <c r="M22" i="19"/>
  <c r="E22" i="19"/>
  <c r="Q20" i="19"/>
  <c r="L20" i="19"/>
  <c r="Q21" i="25"/>
  <c r="L21" i="25"/>
  <c r="G22" i="25"/>
  <c r="H22" i="25"/>
  <c r="E23" i="25"/>
  <c r="M23" i="25"/>
  <c r="N22" i="25"/>
  <c r="O22" i="25" s="1"/>
  <c r="C27" i="19"/>
  <c r="L53" i="23"/>
  <c r="Q53" i="23"/>
  <c r="G54" i="23"/>
  <c r="N54" i="23"/>
  <c r="O54" i="23" s="1"/>
  <c r="E55" i="23"/>
  <c r="H55" i="23" s="1"/>
  <c r="M55" i="23"/>
  <c r="M24" i="24" l="1"/>
  <c r="N23" i="24"/>
  <c r="O23" i="24" s="1"/>
  <c r="E24" i="24"/>
  <c r="L22" i="24"/>
  <c r="Q22" i="24"/>
  <c r="H23" i="24"/>
  <c r="G23" i="24"/>
  <c r="L21" i="19"/>
  <c r="Q21" i="19"/>
  <c r="H22" i="19"/>
  <c r="G22" i="19"/>
  <c r="N22" i="19"/>
  <c r="O22" i="19" s="1"/>
  <c r="M23" i="19"/>
  <c r="E23" i="19"/>
  <c r="N23" i="25"/>
  <c r="O23" i="25" s="1"/>
  <c r="E24" i="25"/>
  <c r="M24" i="25"/>
  <c r="H23" i="25"/>
  <c r="G23" i="25"/>
  <c r="Q22" i="25"/>
  <c r="L22" i="25"/>
  <c r="C28" i="19"/>
  <c r="N55" i="23"/>
  <c r="O55" i="23" s="1"/>
  <c r="E56" i="23"/>
  <c r="H56" i="23" s="1"/>
  <c r="M56" i="23"/>
  <c r="G55" i="23"/>
  <c r="Q54" i="23"/>
  <c r="L54" i="23"/>
  <c r="L23" i="24" l="1"/>
  <c r="Q23" i="24"/>
  <c r="G24" i="24"/>
  <c r="H24" i="24"/>
  <c r="M25" i="24"/>
  <c r="N24" i="24"/>
  <c r="O24" i="24" s="1"/>
  <c r="E25" i="24"/>
  <c r="H23" i="19"/>
  <c r="G23" i="19"/>
  <c r="M24" i="19"/>
  <c r="N23" i="19"/>
  <c r="O23" i="19" s="1"/>
  <c r="E24" i="19"/>
  <c r="L22" i="19"/>
  <c r="Q22" i="19"/>
  <c r="L23" i="25"/>
  <c r="Q23" i="25"/>
  <c r="N24" i="25"/>
  <c r="O24" i="25" s="1"/>
  <c r="M25" i="25"/>
  <c r="E25" i="25"/>
  <c r="H24" i="25"/>
  <c r="G24" i="25"/>
  <c r="C29" i="19"/>
  <c r="E57" i="23"/>
  <c r="H57" i="23" s="1"/>
  <c r="N56" i="23"/>
  <c r="O56" i="23" s="1"/>
  <c r="M57" i="23"/>
  <c r="G56" i="23"/>
  <c r="Q55" i="23"/>
  <c r="L55" i="23"/>
  <c r="L24" i="24" l="1"/>
  <c r="Q24" i="24"/>
  <c r="G25" i="24"/>
  <c r="H25" i="24"/>
  <c r="M26" i="24"/>
  <c r="N25" i="24"/>
  <c r="O25" i="24" s="1"/>
  <c r="E26" i="24"/>
  <c r="G24" i="19"/>
  <c r="H24" i="19"/>
  <c r="M25" i="19"/>
  <c r="N24" i="19"/>
  <c r="O24" i="19" s="1"/>
  <c r="E25" i="19"/>
  <c r="Q23" i="19"/>
  <c r="L23" i="19"/>
  <c r="H25" i="25"/>
  <c r="G25" i="25"/>
  <c r="L24" i="25"/>
  <c r="Q24" i="25"/>
  <c r="M26" i="25"/>
  <c r="N25" i="25"/>
  <c r="O25" i="25" s="1"/>
  <c r="E26" i="25"/>
  <c r="C30" i="19"/>
  <c r="N57" i="23"/>
  <c r="O57" i="23" s="1"/>
  <c r="M58" i="23"/>
  <c r="E58" i="23"/>
  <c r="H58" i="23" s="1"/>
  <c r="L56" i="23"/>
  <c r="Q56" i="23"/>
  <c r="G57" i="23"/>
  <c r="L25" i="24" l="1"/>
  <c r="Q25" i="24"/>
  <c r="H26" i="24"/>
  <c r="G26" i="24"/>
  <c r="N26" i="24"/>
  <c r="O26" i="24" s="1"/>
  <c r="M27" i="24"/>
  <c r="E27" i="24"/>
  <c r="G25" i="19"/>
  <c r="H25" i="19"/>
  <c r="Q24" i="19"/>
  <c r="L24" i="19"/>
  <c r="M26" i="19"/>
  <c r="N25" i="19"/>
  <c r="O25" i="19" s="1"/>
  <c r="E26" i="19"/>
  <c r="G26" i="25"/>
  <c r="H26" i="25"/>
  <c r="M27" i="25"/>
  <c r="E27" i="25"/>
  <c r="N26" i="25"/>
  <c r="O26" i="25" s="1"/>
  <c r="Q25" i="25"/>
  <c r="L25" i="25"/>
  <c r="C31" i="19"/>
  <c r="L57" i="23"/>
  <c r="Q57" i="23"/>
  <c r="G58" i="23"/>
  <c r="N58" i="23"/>
  <c r="O58" i="23" s="1"/>
  <c r="E59" i="23"/>
  <c r="H59" i="23" s="1"/>
  <c r="M59" i="23"/>
  <c r="H27" i="24" l="1"/>
  <c r="G27" i="24"/>
  <c r="M28" i="24"/>
  <c r="N27" i="24"/>
  <c r="O27" i="24" s="1"/>
  <c r="E28" i="24"/>
  <c r="L26" i="24"/>
  <c r="Q26" i="24"/>
  <c r="H26" i="19"/>
  <c r="G26" i="19"/>
  <c r="M27" i="19"/>
  <c r="N26" i="19"/>
  <c r="O26" i="19" s="1"/>
  <c r="E27" i="19"/>
  <c r="L25" i="19"/>
  <c r="Q25" i="19"/>
  <c r="H27" i="25"/>
  <c r="G27" i="25"/>
  <c r="N27" i="25"/>
  <c r="O27" i="25" s="1"/>
  <c r="E28" i="25"/>
  <c r="M28" i="25"/>
  <c r="L26" i="25"/>
  <c r="Q26" i="25"/>
  <c r="C32" i="19"/>
  <c r="N59" i="23"/>
  <c r="O59" i="23" s="1"/>
  <c r="E60" i="23"/>
  <c r="H60" i="23" s="1"/>
  <c r="M60" i="23"/>
  <c r="G59" i="23"/>
  <c r="Q58" i="23"/>
  <c r="L58" i="23"/>
  <c r="M29" i="24" l="1"/>
  <c r="N28" i="24"/>
  <c r="O28" i="24" s="1"/>
  <c r="E29" i="24"/>
  <c r="G28" i="24"/>
  <c r="H28" i="24"/>
  <c r="L27" i="24"/>
  <c r="Q27" i="24"/>
  <c r="N27" i="19"/>
  <c r="O27" i="19" s="1"/>
  <c r="M28" i="19"/>
  <c r="E28" i="19"/>
  <c r="G27" i="19"/>
  <c r="H27" i="19"/>
  <c r="L26" i="19"/>
  <c r="Q26" i="19"/>
  <c r="G28" i="25"/>
  <c r="H28" i="25"/>
  <c r="E29" i="25"/>
  <c r="M29" i="25"/>
  <c r="N28" i="25"/>
  <c r="O28" i="25" s="1"/>
  <c r="Q27" i="25"/>
  <c r="L27" i="25"/>
  <c r="C33" i="19"/>
  <c r="Q59" i="23"/>
  <c r="L59" i="23"/>
  <c r="G60" i="23"/>
  <c r="N60" i="23"/>
  <c r="O60" i="23" s="1"/>
  <c r="E61" i="23"/>
  <c r="H61" i="23" s="1"/>
  <c r="M61" i="23"/>
  <c r="H29" i="24" l="1"/>
  <c r="G29" i="24"/>
  <c r="L28" i="24"/>
  <c r="Q28" i="24"/>
  <c r="M30" i="24"/>
  <c r="N29" i="24"/>
  <c r="O29" i="24" s="1"/>
  <c r="E30" i="24"/>
  <c r="G28" i="19"/>
  <c r="H28" i="19"/>
  <c r="Q27" i="19"/>
  <c r="L27" i="19"/>
  <c r="N28" i="19"/>
  <c r="O28" i="19" s="1"/>
  <c r="M29" i="19"/>
  <c r="E29" i="19"/>
  <c r="M30" i="25"/>
  <c r="N29" i="25"/>
  <c r="O29" i="25" s="1"/>
  <c r="E30" i="25"/>
  <c r="G29" i="25"/>
  <c r="H29" i="25"/>
  <c r="L28" i="25"/>
  <c r="Q28" i="25"/>
  <c r="C34" i="19"/>
  <c r="G61" i="23"/>
  <c r="N61" i="23"/>
  <c r="O61" i="23" s="1"/>
  <c r="M62" i="23"/>
  <c r="E62" i="23"/>
  <c r="H62" i="23" s="1"/>
  <c r="L60" i="23"/>
  <c r="Q60" i="23"/>
  <c r="G30" i="24" l="1"/>
  <c r="H30" i="24"/>
  <c r="N30" i="24"/>
  <c r="O30" i="24" s="1"/>
  <c r="M31" i="24"/>
  <c r="E31" i="24"/>
  <c r="L29" i="24"/>
  <c r="Q29" i="24"/>
  <c r="H29" i="19"/>
  <c r="G29" i="19"/>
  <c r="N29" i="19"/>
  <c r="O29" i="19" s="1"/>
  <c r="M30" i="19"/>
  <c r="E30" i="19"/>
  <c r="Q28" i="19"/>
  <c r="L28" i="19"/>
  <c r="L29" i="25"/>
  <c r="Q29" i="25"/>
  <c r="H30" i="25"/>
  <c r="G30" i="25"/>
  <c r="M31" i="25"/>
  <c r="N30" i="25"/>
  <c r="O30" i="25" s="1"/>
  <c r="E31" i="25"/>
  <c r="C35" i="19"/>
  <c r="G62" i="23"/>
  <c r="N62" i="23"/>
  <c r="O62" i="23" s="1"/>
  <c r="E63" i="23"/>
  <c r="H63" i="23" s="1"/>
  <c r="M63" i="23"/>
  <c r="L61" i="23"/>
  <c r="Q61" i="23"/>
  <c r="M32" i="24" l="1"/>
  <c r="N31" i="24"/>
  <c r="O31" i="24" s="1"/>
  <c r="E32" i="24"/>
  <c r="L30" i="24"/>
  <c r="Q30" i="24"/>
  <c r="G31" i="24"/>
  <c r="H31" i="24"/>
  <c r="G30" i="19"/>
  <c r="H30" i="19"/>
  <c r="N30" i="19"/>
  <c r="O30" i="19" s="1"/>
  <c r="M31" i="19"/>
  <c r="E31" i="19"/>
  <c r="Q29" i="19"/>
  <c r="L29" i="19"/>
  <c r="E32" i="25"/>
  <c r="M32" i="25"/>
  <c r="N31" i="25"/>
  <c r="O31" i="25" s="1"/>
  <c r="G31" i="25"/>
  <c r="H31" i="25"/>
  <c r="L30" i="25"/>
  <c r="Q30" i="25"/>
  <c r="C36" i="19"/>
  <c r="N63" i="23"/>
  <c r="O63" i="23" s="1"/>
  <c r="E64" i="23"/>
  <c r="H64" i="23" s="1"/>
  <c r="M64" i="23"/>
  <c r="G63" i="23"/>
  <c r="Q62" i="23"/>
  <c r="L62" i="23"/>
  <c r="L31" i="24" l="1"/>
  <c r="Q31" i="24"/>
  <c r="H32" i="24"/>
  <c r="G32" i="24"/>
  <c r="N32" i="24"/>
  <c r="O32" i="24" s="1"/>
  <c r="M33" i="24"/>
  <c r="E33" i="24"/>
  <c r="G31" i="19"/>
  <c r="H31" i="19"/>
  <c r="N31" i="19"/>
  <c r="O31" i="19" s="1"/>
  <c r="M32" i="19"/>
  <c r="E32" i="19"/>
  <c r="L30" i="19"/>
  <c r="Q30" i="19"/>
  <c r="L31" i="25"/>
  <c r="Q31" i="25"/>
  <c r="M33" i="25"/>
  <c r="N32" i="25"/>
  <c r="O32" i="25" s="1"/>
  <c r="E33" i="25"/>
  <c r="H32" i="25"/>
  <c r="G32" i="25"/>
  <c r="C37" i="19"/>
  <c r="Q63" i="23"/>
  <c r="L63" i="23"/>
  <c r="M65" i="23"/>
  <c r="N64" i="23"/>
  <c r="O64" i="23" s="1"/>
  <c r="E65" i="23"/>
  <c r="H65" i="23" s="1"/>
  <c r="G64" i="23"/>
  <c r="L32" i="24" l="1"/>
  <c r="Q32" i="24"/>
  <c r="N33" i="24"/>
  <c r="O33" i="24" s="1"/>
  <c r="M34" i="24"/>
  <c r="E34" i="24"/>
  <c r="G33" i="24"/>
  <c r="H33" i="24"/>
  <c r="G32" i="19"/>
  <c r="H32" i="19"/>
  <c r="N32" i="19"/>
  <c r="O32" i="19" s="1"/>
  <c r="M33" i="19"/>
  <c r="E33" i="19"/>
  <c r="Q31" i="19"/>
  <c r="L31" i="19"/>
  <c r="G33" i="25"/>
  <c r="H33" i="25"/>
  <c r="N33" i="25"/>
  <c r="O33" i="25" s="1"/>
  <c r="M34" i="25"/>
  <c r="E34" i="25"/>
  <c r="Q32" i="25"/>
  <c r="L32" i="25"/>
  <c r="C38" i="19"/>
  <c r="L64" i="23"/>
  <c r="Q64" i="23"/>
  <c r="G65" i="23"/>
  <c r="N65" i="23"/>
  <c r="O65" i="23" s="1"/>
  <c r="E66" i="23"/>
  <c r="H66" i="23" s="1"/>
  <c r="M66" i="23"/>
  <c r="M35" i="24" l="1"/>
  <c r="N34" i="24"/>
  <c r="O34" i="24" s="1"/>
  <c r="E35" i="24"/>
  <c r="L33" i="24"/>
  <c r="Q33" i="24"/>
  <c r="H34" i="24"/>
  <c r="G34" i="24"/>
  <c r="H33" i="19"/>
  <c r="G33" i="19"/>
  <c r="N33" i="19"/>
  <c r="O33" i="19" s="1"/>
  <c r="M34" i="19"/>
  <c r="E34" i="19"/>
  <c r="L32" i="19"/>
  <c r="Q32" i="19"/>
  <c r="M35" i="25"/>
  <c r="N34" i="25"/>
  <c r="O34" i="25" s="1"/>
  <c r="E35" i="25"/>
  <c r="G34" i="25"/>
  <c r="H34" i="25"/>
  <c r="L33" i="25"/>
  <c r="Q33" i="25"/>
  <c r="C39" i="19"/>
  <c r="N66" i="23"/>
  <c r="O66" i="23" s="1"/>
  <c r="E67" i="23"/>
  <c r="H67" i="23" s="1"/>
  <c r="M67" i="23"/>
  <c r="G66" i="23"/>
  <c r="L65" i="23"/>
  <c r="Q65" i="23"/>
  <c r="H35" i="24" l="1"/>
  <c r="G35" i="24"/>
  <c r="L34" i="24"/>
  <c r="Q34" i="24"/>
  <c r="N35" i="24"/>
  <c r="O35" i="24" s="1"/>
  <c r="M36" i="24"/>
  <c r="E36" i="24"/>
  <c r="M35" i="19"/>
  <c r="N34" i="19"/>
  <c r="O34" i="19" s="1"/>
  <c r="E35" i="19"/>
  <c r="L33" i="19"/>
  <c r="Q33" i="19"/>
  <c r="G34" i="19"/>
  <c r="H34" i="19"/>
  <c r="L34" i="25"/>
  <c r="Q34" i="25"/>
  <c r="G35" i="25"/>
  <c r="H35" i="25"/>
  <c r="N35" i="25"/>
  <c r="O35" i="25" s="1"/>
  <c r="E36" i="25"/>
  <c r="M36" i="25"/>
  <c r="C40" i="19"/>
  <c r="Q66" i="23"/>
  <c r="L66" i="23"/>
  <c r="N67" i="23"/>
  <c r="O67" i="23" s="1"/>
  <c r="E68" i="23"/>
  <c r="H68" i="23" s="1"/>
  <c r="M68" i="23"/>
  <c r="G67" i="23"/>
  <c r="G36" i="24" l="1"/>
  <c r="H36" i="24"/>
  <c r="M37" i="24"/>
  <c r="N36" i="24"/>
  <c r="O36" i="24" s="1"/>
  <c r="E37" i="24"/>
  <c r="L35" i="24"/>
  <c r="Q35" i="24"/>
  <c r="G35" i="19"/>
  <c r="H35" i="19"/>
  <c r="N35" i="19"/>
  <c r="O35" i="19" s="1"/>
  <c r="M36" i="19"/>
  <c r="E36" i="19"/>
  <c r="L34" i="19"/>
  <c r="Q34" i="19"/>
  <c r="H36" i="25"/>
  <c r="G36" i="25"/>
  <c r="Q35" i="25"/>
  <c r="L35" i="25"/>
  <c r="N36" i="25"/>
  <c r="O36" i="25" s="1"/>
  <c r="M37" i="25"/>
  <c r="E37" i="25"/>
  <c r="C41" i="19"/>
  <c r="M69" i="23"/>
  <c r="N68" i="23"/>
  <c r="O68" i="23" s="1"/>
  <c r="E69" i="23"/>
  <c r="H69" i="23" s="1"/>
  <c r="Q67" i="23"/>
  <c r="L67" i="23"/>
  <c r="G68" i="23"/>
  <c r="L36" i="24" l="1"/>
  <c r="Q36" i="24"/>
  <c r="M38" i="24"/>
  <c r="N37" i="24"/>
  <c r="O37" i="24" s="1"/>
  <c r="E38" i="24"/>
  <c r="H37" i="24"/>
  <c r="G37" i="24"/>
  <c r="G36" i="19"/>
  <c r="H36" i="19"/>
  <c r="M37" i="19"/>
  <c r="N36" i="19"/>
  <c r="O36" i="19" s="1"/>
  <c r="E37" i="19"/>
  <c r="L35" i="19"/>
  <c r="Q35" i="19"/>
  <c r="M38" i="25"/>
  <c r="N37" i="25"/>
  <c r="O37" i="25" s="1"/>
  <c r="E38" i="25"/>
  <c r="G37" i="25"/>
  <c r="H37" i="25"/>
  <c r="Q36" i="25"/>
  <c r="L36" i="25"/>
  <c r="C42" i="19"/>
  <c r="G69" i="23"/>
  <c r="L68" i="23"/>
  <c r="Q68" i="23"/>
  <c r="N69" i="23"/>
  <c r="O69" i="23" s="1"/>
  <c r="E70" i="23"/>
  <c r="H70" i="23" s="1"/>
  <c r="M70" i="23"/>
  <c r="N38" i="24" l="1"/>
  <c r="O38" i="24" s="1"/>
  <c r="M39" i="24"/>
  <c r="E39" i="24"/>
  <c r="L37" i="24"/>
  <c r="Q37" i="24"/>
  <c r="G38" i="24"/>
  <c r="H38" i="24"/>
  <c r="H37" i="19"/>
  <c r="G37" i="19"/>
  <c r="N37" i="19"/>
  <c r="O37" i="19" s="1"/>
  <c r="M38" i="19"/>
  <c r="E38" i="19"/>
  <c r="Q36" i="19"/>
  <c r="L36" i="19"/>
  <c r="L37" i="25"/>
  <c r="Q37" i="25"/>
  <c r="H38" i="25"/>
  <c r="G38" i="25"/>
  <c r="M39" i="25"/>
  <c r="E39" i="25"/>
  <c r="N38" i="25"/>
  <c r="O38" i="25" s="1"/>
  <c r="G70" i="23"/>
  <c r="N70" i="23"/>
  <c r="O70" i="23" s="1"/>
  <c r="E71" i="23"/>
  <c r="H71" i="23" s="1"/>
  <c r="M71" i="23"/>
  <c r="L69" i="23"/>
  <c r="Q69" i="23"/>
  <c r="L38" i="24" l="1"/>
  <c r="Q38" i="24"/>
  <c r="M40" i="24"/>
  <c r="N39" i="24"/>
  <c r="O39" i="24" s="1"/>
  <c r="E40" i="24"/>
  <c r="G39" i="24"/>
  <c r="H39" i="24"/>
  <c r="G38" i="19"/>
  <c r="H38" i="19"/>
  <c r="N38" i="19"/>
  <c r="O38" i="19" s="1"/>
  <c r="M39" i="19"/>
  <c r="E39" i="19"/>
  <c r="L37" i="19"/>
  <c r="Q37" i="19"/>
  <c r="G39" i="25"/>
  <c r="H39" i="25"/>
  <c r="E40" i="25"/>
  <c r="M40" i="25"/>
  <c r="N39" i="25"/>
  <c r="O39" i="25" s="1"/>
  <c r="Q38" i="25"/>
  <c r="L38" i="25"/>
  <c r="N71" i="23"/>
  <c r="O71" i="23" s="1"/>
  <c r="E72" i="23"/>
  <c r="H72" i="23" s="1"/>
  <c r="M72" i="23"/>
  <c r="G71" i="23"/>
  <c r="Q70" i="23"/>
  <c r="L70" i="23"/>
  <c r="L39" i="24" l="1"/>
  <c r="Q39" i="24"/>
  <c r="N40" i="24"/>
  <c r="O40" i="24" s="1"/>
  <c r="M41" i="24"/>
  <c r="E41" i="24"/>
  <c r="G40" i="24"/>
  <c r="H40" i="24"/>
  <c r="G39" i="19"/>
  <c r="H39" i="19"/>
  <c r="N39" i="19"/>
  <c r="O39" i="19" s="1"/>
  <c r="M40" i="19"/>
  <c r="E40" i="19"/>
  <c r="L38" i="19"/>
  <c r="Q38" i="19"/>
  <c r="H40" i="25"/>
  <c r="G40" i="25"/>
  <c r="E41" i="25"/>
  <c r="N40" i="25"/>
  <c r="O40" i="25" s="1"/>
  <c r="M41" i="25"/>
  <c r="Q39" i="25"/>
  <c r="L39" i="25"/>
  <c r="Q71" i="23"/>
  <c r="L71" i="23"/>
  <c r="M73" i="23"/>
  <c r="N72" i="23"/>
  <c r="O72" i="23" s="1"/>
  <c r="E73" i="23"/>
  <c r="G72" i="23"/>
  <c r="N41" i="24" l="1"/>
  <c r="O41" i="24" s="1"/>
  <c r="M42" i="24"/>
  <c r="E42" i="24"/>
  <c r="L40" i="24"/>
  <c r="Q40" i="24"/>
  <c r="G41" i="24"/>
  <c r="H41" i="24"/>
  <c r="G40" i="19"/>
  <c r="H40" i="19"/>
  <c r="M41" i="19"/>
  <c r="N40" i="19"/>
  <c r="O40" i="19" s="1"/>
  <c r="E41" i="19"/>
  <c r="L39" i="19"/>
  <c r="Q39" i="19"/>
  <c r="H41" i="25"/>
  <c r="G41" i="25"/>
  <c r="N41" i="25"/>
  <c r="O41" i="25" s="1"/>
  <c r="E42" i="25"/>
  <c r="M42" i="25"/>
  <c r="Q40" i="25"/>
  <c r="L40" i="25"/>
  <c r="M74" i="23"/>
  <c r="E74" i="23"/>
  <c r="H73" i="23"/>
  <c r="G73" i="23"/>
  <c r="L72" i="23"/>
  <c r="Q72" i="23"/>
  <c r="N73" i="23"/>
  <c r="O73" i="23" s="1"/>
  <c r="C43" i="19"/>
  <c r="L41" i="24" l="1"/>
  <c r="Q41" i="24"/>
  <c r="G42" i="24"/>
  <c r="H42" i="24"/>
  <c r="M43" i="24"/>
  <c r="N43" i="24" s="1"/>
  <c r="N42" i="24"/>
  <c r="E43" i="24"/>
  <c r="H41" i="19"/>
  <c r="G41" i="19"/>
  <c r="M42" i="19"/>
  <c r="N42" i="19" s="1"/>
  <c r="M47" i="19" s="1"/>
  <c r="N41" i="19"/>
  <c r="O41" i="19" s="1"/>
  <c r="E42" i="19"/>
  <c r="Q40" i="19"/>
  <c r="L40" i="19"/>
  <c r="Q41" i="25"/>
  <c r="L41" i="25"/>
  <c r="N42" i="25"/>
  <c r="O42" i="25" s="1"/>
  <c r="M43" i="25"/>
  <c r="E43" i="25"/>
  <c r="G42" i="25"/>
  <c r="H42" i="25"/>
  <c r="G74" i="23"/>
  <c r="H74" i="23"/>
  <c r="M75" i="23"/>
  <c r="N74" i="23"/>
  <c r="O74" i="23" s="1"/>
  <c r="E75" i="23"/>
  <c r="L73" i="23"/>
  <c r="Q73" i="23"/>
  <c r="G43" i="24" l="1"/>
  <c r="G44" i="24" s="1"/>
  <c r="H43" i="24"/>
  <c r="E44" i="24"/>
  <c r="O42" i="24"/>
  <c r="O43" i="24" s="1"/>
  <c r="O46" i="24" s="1"/>
  <c r="N44" i="24"/>
  <c r="L42" i="24"/>
  <c r="Q42" i="24"/>
  <c r="M44" i="24"/>
  <c r="O42" i="19"/>
  <c r="L41" i="19"/>
  <c r="Q41" i="19"/>
  <c r="G42" i="19"/>
  <c r="H42" i="19"/>
  <c r="H43" i="25"/>
  <c r="G43" i="25"/>
  <c r="E44" i="25"/>
  <c r="M44" i="25"/>
  <c r="N43" i="25"/>
  <c r="O43" i="25" s="1"/>
  <c r="Q42" i="25"/>
  <c r="L42" i="25"/>
  <c r="Q74" i="23"/>
  <c r="L74" i="23"/>
  <c r="G75" i="23"/>
  <c r="H75" i="23"/>
  <c r="E76" i="23"/>
  <c r="M76" i="23"/>
  <c r="N75" i="23"/>
  <c r="O75" i="23" s="1"/>
  <c r="M43" i="19"/>
  <c r="N43" i="19" s="1"/>
  <c r="N44" i="19" s="1"/>
  <c r="O43" i="19"/>
  <c r="O46" i="19" s="1"/>
  <c r="E43" i="19"/>
  <c r="H44" i="24" l="1"/>
  <c r="Q44" i="24" s="1"/>
  <c r="L43" i="24"/>
  <c r="L44" i="24" s="1"/>
  <c r="Q43" i="24"/>
  <c r="L42" i="19"/>
  <c r="Q42" i="19"/>
  <c r="M45" i="25"/>
  <c r="N44" i="25"/>
  <c r="O44" i="25" s="1"/>
  <c r="E45" i="25"/>
  <c r="G44" i="25"/>
  <c r="H44" i="25"/>
  <c r="L43" i="25"/>
  <c r="Q43" i="25"/>
  <c r="M44" i="19"/>
  <c r="N76" i="23"/>
  <c r="O76" i="23" s="1"/>
  <c r="M77" i="23"/>
  <c r="E77" i="23"/>
  <c r="Q75" i="23"/>
  <c r="L75" i="23"/>
  <c r="G76" i="23"/>
  <c r="H76" i="23"/>
  <c r="G43" i="19"/>
  <c r="G44" i="19" s="1"/>
  <c r="E44" i="19"/>
  <c r="H43" i="19"/>
  <c r="G45" i="25" l="1"/>
  <c r="H45" i="25"/>
  <c r="L44" i="25"/>
  <c r="Q44" i="25"/>
  <c r="E46" i="25"/>
  <c r="N45" i="25"/>
  <c r="O45" i="25" s="1"/>
  <c r="M46" i="25"/>
  <c r="Q76" i="23"/>
  <c r="L76" i="23"/>
  <c r="G77" i="23"/>
  <c r="H77" i="23"/>
  <c r="E78" i="23"/>
  <c r="N77" i="23"/>
  <c r="O77" i="23" s="1"/>
  <c r="M78" i="23"/>
  <c r="L43" i="19"/>
  <c r="L44" i="19" s="1"/>
  <c r="H44" i="19"/>
  <c r="Q44" i="19" s="1"/>
  <c r="Q43" i="19"/>
  <c r="E47" i="25" l="1"/>
  <c r="M47" i="25"/>
  <c r="N46" i="25"/>
  <c r="O46" i="25" s="1"/>
  <c r="G46" i="25"/>
  <c r="H46" i="25"/>
  <c r="Q45" i="25"/>
  <c r="L45" i="25"/>
  <c r="L77" i="23"/>
  <c r="Q77" i="23"/>
  <c r="G78" i="23"/>
  <c r="H78" i="23"/>
  <c r="N78" i="23"/>
  <c r="O78" i="23" s="1"/>
  <c r="M79" i="23"/>
  <c r="E79" i="23"/>
  <c r="G47" i="25" l="1"/>
  <c r="H47" i="25"/>
  <c r="Q46" i="25"/>
  <c r="L46" i="25"/>
  <c r="M48" i="25"/>
  <c r="E48" i="25"/>
  <c r="N47" i="25"/>
  <c r="O47" i="25" s="1"/>
  <c r="H79" i="23"/>
  <c r="G79" i="23"/>
  <c r="N79" i="23"/>
  <c r="O79" i="23" s="1"/>
  <c r="M80" i="23"/>
  <c r="E80" i="23"/>
  <c r="L78" i="23"/>
  <c r="Q78" i="23"/>
  <c r="L47" i="25" l="1"/>
  <c r="Q47" i="25"/>
  <c r="H48" i="25"/>
  <c r="G48" i="25"/>
  <c r="M49" i="25"/>
  <c r="N48" i="25"/>
  <c r="O48" i="25" s="1"/>
  <c r="E49" i="25"/>
  <c r="G80" i="23"/>
  <c r="H80" i="23"/>
  <c r="N80" i="23"/>
  <c r="O80" i="23" s="1"/>
  <c r="E81" i="23"/>
  <c r="M81" i="23"/>
  <c r="L79" i="23"/>
  <c r="Q79" i="23"/>
  <c r="Q48" i="25" l="1"/>
  <c r="L48" i="25"/>
  <c r="H49" i="25"/>
  <c r="G49" i="25"/>
  <c r="E50" i="25"/>
  <c r="M50" i="25"/>
  <c r="N49" i="25"/>
  <c r="O49" i="25" s="1"/>
  <c r="N81" i="23"/>
  <c r="O81" i="23" s="1"/>
  <c r="E82" i="23"/>
  <c r="M82" i="23"/>
  <c r="G81" i="23"/>
  <c r="H81" i="23"/>
  <c r="Q80" i="23"/>
  <c r="L80" i="23"/>
  <c r="E51" i="25" l="1"/>
  <c r="M51" i="25"/>
  <c r="N50" i="25"/>
  <c r="O50" i="25" s="1"/>
  <c r="H50" i="25"/>
  <c r="G50" i="25"/>
  <c r="L49" i="25"/>
  <c r="Q49" i="25"/>
  <c r="Q81" i="23"/>
  <c r="L81" i="23"/>
  <c r="G82" i="23"/>
  <c r="H82" i="23"/>
  <c r="N82" i="23"/>
  <c r="O82" i="23" s="1"/>
  <c r="E83" i="23"/>
  <c r="M83" i="23"/>
  <c r="E52" i="25" l="1"/>
  <c r="M52" i="25"/>
  <c r="N51" i="25"/>
  <c r="O51" i="25" s="1"/>
  <c r="Q50" i="25"/>
  <c r="L50" i="25"/>
  <c r="H51" i="25"/>
  <c r="G51" i="25"/>
  <c r="G83" i="23"/>
  <c r="H83" i="23"/>
  <c r="L82" i="23"/>
  <c r="Q82" i="23"/>
  <c r="N83" i="23"/>
  <c r="O83" i="23" s="1"/>
  <c r="M84" i="23"/>
  <c r="E84" i="23"/>
  <c r="Q51" i="25" l="1"/>
  <c r="L51" i="25"/>
  <c r="E53" i="25"/>
  <c r="M53" i="25"/>
  <c r="N52" i="25"/>
  <c r="O52" i="25" s="1"/>
  <c r="H52" i="25"/>
  <c r="G52" i="25"/>
  <c r="N84" i="23"/>
  <c r="O84" i="23" s="1"/>
  <c r="M85" i="23"/>
  <c r="E85" i="23"/>
  <c r="L83" i="23"/>
  <c r="Q83" i="23"/>
  <c r="G84" i="23"/>
  <c r="H84" i="23"/>
  <c r="L52" i="25" l="1"/>
  <c r="Q52" i="25"/>
  <c r="H53" i="25"/>
  <c r="G53" i="25"/>
  <c r="E54" i="25"/>
  <c r="M54" i="25"/>
  <c r="N53" i="25"/>
  <c r="O53" i="25" s="1"/>
  <c r="H85" i="23"/>
  <c r="G85" i="23"/>
  <c r="Q84" i="23"/>
  <c r="L84" i="23"/>
  <c r="N85" i="23"/>
  <c r="O85" i="23" s="1"/>
  <c r="M86" i="23"/>
  <c r="E86" i="23"/>
  <c r="Q53" i="25" l="1"/>
  <c r="L53" i="25"/>
  <c r="M55" i="25"/>
  <c r="N54" i="25"/>
  <c r="O54" i="25" s="1"/>
  <c r="E55" i="25"/>
  <c r="G54" i="25"/>
  <c r="H54" i="25"/>
  <c r="N86" i="23"/>
  <c r="O86" i="23" s="1"/>
  <c r="E87" i="23"/>
  <c r="M87" i="23"/>
  <c r="G86" i="23"/>
  <c r="H86" i="23"/>
  <c r="L85" i="23"/>
  <c r="Q85" i="23"/>
  <c r="G55" i="25" l="1"/>
  <c r="H55" i="25"/>
  <c r="E56" i="25"/>
  <c r="M56" i="25"/>
  <c r="N55" i="25"/>
  <c r="O55" i="25" s="1"/>
  <c r="Q54" i="25"/>
  <c r="L54" i="25"/>
  <c r="Q86" i="23"/>
  <c r="L86" i="23"/>
  <c r="G87" i="23"/>
  <c r="H87" i="23"/>
  <c r="N87" i="23"/>
  <c r="O87" i="23" s="1"/>
  <c r="E88" i="23"/>
  <c r="M88" i="23"/>
  <c r="Q55" i="25" l="1"/>
  <c r="L55" i="25"/>
  <c r="M57" i="25"/>
  <c r="N56" i="25"/>
  <c r="O56" i="25" s="1"/>
  <c r="E57" i="25"/>
  <c r="G56" i="25"/>
  <c r="H56" i="25"/>
  <c r="M89" i="23"/>
  <c r="E89" i="23"/>
  <c r="N88" i="23"/>
  <c r="O88" i="23" s="1"/>
  <c r="G88" i="23"/>
  <c r="H88" i="23"/>
  <c r="Q87" i="23"/>
  <c r="L87" i="23"/>
  <c r="G57" i="25" l="1"/>
  <c r="H57" i="25"/>
  <c r="Q56" i="25"/>
  <c r="L56" i="25"/>
  <c r="M58" i="25"/>
  <c r="N57" i="25"/>
  <c r="O57" i="25" s="1"/>
  <c r="E58" i="25"/>
  <c r="Q88" i="23"/>
  <c r="L88" i="23"/>
  <c r="H89" i="23"/>
  <c r="G89" i="23"/>
  <c r="N89" i="23"/>
  <c r="O89" i="23" s="1"/>
  <c r="M90" i="23"/>
  <c r="E90" i="23"/>
  <c r="H58" i="25" l="1"/>
  <c r="G58" i="25"/>
  <c r="N58" i="25"/>
  <c r="O58" i="25" s="1"/>
  <c r="M59" i="25"/>
  <c r="E59" i="25"/>
  <c r="Q57" i="25"/>
  <c r="L57" i="25"/>
  <c r="G90" i="23"/>
  <c r="H90" i="23"/>
  <c r="N90" i="23"/>
  <c r="O90" i="23" s="1"/>
  <c r="E91" i="23"/>
  <c r="M91" i="23"/>
  <c r="L89" i="23"/>
  <c r="Q89" i="23"/>
  <c r="G59" i="25" l="1"/>
  <c r="H59" i="25"/>
  <c r="M60" i="25"/>
  <c r="N59" i="25"/>
  <c r="O59" i="25" s="1"/>
  <c r="E60" i="25"/>
  <c r="L58" i="25"/>
  <c r="Q58" i="25"/>
  <c r="N91" i="23"/>
  <c r="O91" i="23" s="1"/>
  <c r="M92" i="23"/>
  <c r="E92" i="23"/>
  <c r="L90" i="23"/>
  <c r="Q90" i="23"/>
  <c r="G91" i="23"/>
  <c r="H91" i="23"/>
  <c r="L59" i="25" l="1"/>
  <c r="Q59" i="25"/>
  <c r="H60" i="25"/>
  <c r="G60" i="25"/>
  <c r="N60" i="25"/>
  <c r="O60" i="25" s="1"/>
  <c r="E61" i="25"/>
  <c r="M61" i="25"/>
  <c r="Q91" i="23"/>
  <c r="L91" i="23"/>
  <c r="G92" i="23"/>
  <c r="H92" i="23"/>
  <c r="M93" i="23"/>
  <c r="N92" i="23"/>
  <c r="O92" i="23" s="1"/>
  <c r="E93" i="23"/>
  <c r="N61" i="25" l="1"/>
  <c r="O61" i="25" s="1"/>
  <c r="E62" i="25"/>
  <c r="M62" i="25"/>
  <c r="G61" i="25"/>
  <c r="H61" i="25"/>
  <c r="L60" i="25"/>
  <c r="Q60" i="25"/>
  <c r="Q92" i="23"/>
  <c r="L92" i="23"/>
  <c r="H93" i="23"/>
  <c r="G93" i="23"/>
  <c r="N93" i="23"/>
  <c r="O93" i="23" s="1"/>
  <c r="M94" i="23"/>
  <c r="E94" i="23"/>
  <c r="Q61" i="25" l="1"/>
  <c r="L61" i="25"/>
  <c r="N62" i="25"/>
  <c r="O62" i="25" s="1"/>
  <c r="E63" i="25"/>
  <c r="M63" i="25"/>
  <c r="H62" i="25"/>
  <c r="G62" i="25"/>
  <c r="G94" i="23"/>
  <c r="H94" i="23"/>
  <c r="N94" i="23"/>
  <c r="O94" i="23" s="1"/>
  <c r="E95" i="23"/>
  <c r="M95" i="23"/>
  <c r="Q93" i="23"/>
  <c r="L93" i="23"/>
  <c r="E64" i="25" l="1"/>
  <c r="M64" i="25"/>
  <c r="N63" i="25"/>
  <c r="O63" i="25" s="1"/>
  <c r="L62" i="25"/>
  <c r="Q62" i="25"/>
  <c r="H63" i="25"/>
  <c r="G63" i="25"/>
  <c r="N95" i="23"/>
  <c r="O95" i="23" s="1"/>
  <c r="M96" i="23"/>
  <c r="E96" i="23"/>
  <c r="G95" i="23"/>
  <c r="H95" i="23"/>
  <c r="L94" i="23"/>
  <c r="Q94" i="23"/>
  <c r="Q63" i="25" l="1"/>
  <c r="L63" i="25"/>
  <c r="M65" i="25"/>
  <c r="E65" i="25"/>
  <c r="N64" i="25"/>
  <c r="O64" i="25" s="1"/>
  <c r="H64" i="25"/>
  <c r="G64" i="25"/>
  <c r="L95" i="23"/>
  <c r="Q95" i="23"/>
  <c r="E97" i="23"/>
  <c r="N96" i="23"/>
  <c r="O96" i="23" s="1"/>
  <c r="M97" i="23"/>
  <c r="G96" i="23"/>
  <c r="H96" i="23"/>
  <c r="L64" i="25" l="1"/>
  <c r="Q64" i="25"/>
  <c r="G65" i="25"/>
  <c r="H65" i="25"/>
  <c r="N65" i="25"/>
  <c r="O65" i="25" s="1"/>
  <c r="E66" i="25"/>
  <c r="M66" i="25"/>
  <c r="L96" i="23"/>
  <c r="Q96" i="23"/>
  <c r="N97" i="23"/>
  <c r="O97" i="23" s="1"/>
  <c r="E98" i="23"/>
  <c r="M98" i="23"/>
  <c r="G97" i="23"/>
  <c r="H97" i="23"/>
  <c r="G66" i="25" l="1"/>
  <c r="H66" i="25"/>
  <c r="N66" i="25"/>
  <c r="O66" i="25" s="1"/>
  <c r="M67" i="25"/>
  <c r="E67" i="25"/>
  <c r="L65" i="25"/>
  <c r="Q65" i="25"/>
  <c r="L97" i="23"/>
  <c r="Q97" i="23"/>
  <c r="N98" i="23"/>
  <c r="O98" i="23" s="1"/>
  <c r="E99" i="23"/>
  <c r="M99" i="23"/>
  <c r="G98" i="23"/>
  <c r="H98" i="23"/>
  <c r="H67" i="25" l="1"/>
  <c r="G67" i="25"/>
  <c r="M68" i="25"/>
  <c r="N67" i="25"/>
  <c r="O67" i="25" s="1"/>
  <c r="E68" i="25"/>
  <c r="L66" i="25"/>
  <c r="Q66" i="25"/>
  <c r="G99" i="23"/>
  <c r="H99" i="23"/>
  <c r="L98" i="23"/>
  <c r="Q98" i="23"/>
  <c r="N99" i="23"/>
  <c r="O99" i="23" s="1"/>
  <c r="E100" i="23"/>
  <c r="M100" i="23"/>
  <c r="G68" i="25" l="1"/>
  <c r="H68" i="25"/>
  <c r="N68" i="25"/>
  <c r="O68" i="25" s="1"/>
  <c r="M69" i="25"/>
  <c r="E69" i="25"/>
  <c r="Q67" i="25"/>
  <c r="L67" i="25"/>
  <c r="G100" i="23"/>
  <c r="H100" i="23"/>
  <c r="Q99" i="23"/>
  <c r="L99" i="23"/>
  <c r="M101" i="23"/>
  <c r="N100" i="23"/>
  <c r="O100" i="23" s="1"/>
  <c r="E101" i="23"/>
  <c r="H69" i="25" l="1"/>
  <c r="G69" i="25"/>
  <c r="E70" i="25"/>
  <c r="M70" i="25"/>
  <c r="N69" i="25"/>
  <c r="O69" i="25" s="1"/>
  <c r="Q68" i="25"/>
  <c r="L68" i="25"/>
  <c r="Q100" i="23"/>
  <c r="L100" i="23"/>
  <c r="H101" i="23"/>
  <c r="G101" i="23"/>
  <c r="E102" i="23"/>
  <c r="N101" i="23"/>
  <c r="O101" i="23" s="1"/>
  <c r="M102" i="23"/>
  <c r="N70" i="25" l="1"/>
  <c r="O70" i="25" s="1"/>
  <c r="E71" i="25"/>
  <c r="M71" i="25"/>
  <c r="H70" i="25"/>
  <c r="G70" i="25"/>
  <c r="Q69" i="25"/>
  <c r="L69" i="25"/>
  <c r="N102" i="23"/>
  <c r="O102" i="23" s="1"/>
  <c r="E103" i="23"/>
  <c r="M103" i="23"/>
  <c r="F133" i="23" s="1"/>
  <c r="G102" i="23"/>
  <c r="H102" i="23"/>
  <c r="L101" i="23"/>
  <c r="Q101" i="23"/>
  <c r="Q70" i="25" l="1"/>
  <c r="L70" i="25"/>
  <c r="N71" i="25"/>
  <c r="O71" i="25" s="1"/>
  <c r="E72" i="25"/>
  <c r="M72" i="25"/>
  <c r="H71" i="25"/>
  <c r="G71" i="25"/>
  <c r="L102" i="23"/>
  <c r="Q102" i="23"/>
  <c r="N103" i="23"/>
  <c r="O103" i="23" s="1"/>
  <c r="M104" i="23"/>
  <c r="E104" i="23"/>
  <c r="G103" i="23"/>
  <c r="H103" i="23"/>
  <c r="G72" i="25" l="1"/>
  <c r="H72" i="25"/>
  <c r="Q71" i="25"/>
  <c r="L71" i="25"/>
  <c r="N72" i="25"/>
  <c r="O72" i="25" s="1"/>
  <c r="E73" i="25"/>
  <c r="M73" i="25"/>
  <c r="Q103" i="23"/>
  <c r="L103" i="23"/>
  <c r="N104" i="23"/>
  <c r="O104" i="23" s="1"/>
  <c r="E105" i="23"/>
  <c r="M105" i="23"/>
  <c r="H104" i="23"/>
  <c r="G104" i="23"/>
  <c r="E74" i="25" l="1"/>
  <c r="M74" i="25"/>
  <c r="N73" i="25"/>
  <c r="O73" i="25" s="1"/>
  <c r="G73" i="25"/>
  <c r="H73" i="25"/>
  <c r="Q72" i="25"/>
  <c r="L72" i="25"/>
  <c r="E106" i="23"/>
  <c r="M106" i="23"/>
  <c r="N105" i="23"/>
  <c r="G105" i="23"/>
  <c r="H105" i="23"/>
  <c r="Q104" i="23"/>
  <c r="L104" i="23"/>
  <c r="L73" i="25" l="1"/>
  <c r="Q73" i="25"/>
  <c r="N74" i="25"/>
  <c r="O74" i="25" s="1"/>
  <c r="M75" i="25"/>
  <c r="E75" i="25"/>
  <c r="H74" i="25"/>
  <c r="G74" i="25"/>
  <c r="L105" i="23"/>
  <c r="Q105" i="23"/>
  <c r="O105" i="23"/>
  <c r="M107" i="23"/>
  <c r="N106" i="23"/>
  <c r="O106" i="23" s="1"/>
  <c r="E107" i="23"/>
  <c r="G106" i="23"/>
  <c r="H106" i="23"/>
  <c r="H75" i="25" l="1"/>
  <c r="G75" i="25"/>
  <c r="Q74" i="25"/>
  <c r="L74" i="25"/>
  <c r="N75" i="25"/>
  <c r="O75" i="25" s="1"/>
  <c r="M76" i="25"/>
  <c r="E76" i="25"/>
  <c r="E108" i="23"/>
  <c r="N107" i="23"/>
  <c r="O107" i="23" s="1"/>
  <c r="M108" i="23"/>
  <c r="Q106" i="23"/>
  <c r="L106" i="23"/>
  <c r="G107" i="23"/>
  <c r="H107" i="23"/>
  <c r="G76" i="25" l="1"/>
  <c r="H76" i="25"/>
  <c r="N76" i="25"/>
  <c r="O76" i="25" s="1"/>
  <c r="E77" i="25"/>
  <c r="M77" i="25"/>
  <c r="Q75" i="25"/>
  <c r="L75" i="25"/>
  <c r="Q107" i="23"/>
  <c r="L107" i="23"/>
  <c r="E109" i="23"/>
  <c r="N108" i="23"/>
  <c r="O108" i="23" s="1"/>
  <c r="M109" i="23"/>
  <c r="H108" i="23"/>
  <c r="G108" i="23"/>
  <c r="N77" i="25" l="1"/>
  <c r="O77" i="25" s="1"/>
  <c r="E78" i="25"/>
  <c r="M78" i="25"/>
  <c r="H77" i="25"/>
  <c r="G77" i="25"/>
  <c r="L76" i="25"/>
  <c r="Q76" i="25"/>
  <c r="L108" i="23"/>
  <c r="Q108" i="23"/>
  <c r="N109" i="23"/>
  <c r="O109" i="23" s="1"/>
  <c r="M110" i="23"/>
  <c r="E110" i="23"/>
  <c r="H109" i="23"/>
  <c r="G109" i="23"/>
  <c r="M79" i="25" l="1"/>
  <c r="E79" i="25"/>
  <c r="N78" i="25"/>
  <c r="O78" i="25" s="1"/>
  <c r="Q77" i="25"/>
  <c r="L77" i="25"/>
  <c r="H78" i="25"/>
  <c r="G78" i="25"/>
  <c r="G110" i="23"/>
  <c r="H110" i="23"/>
  <c r="E111" i="23"/>
  <c r="N110" i="23"/>
  <c r="M111" i="23"/>
  <c r="Q109" i="23"/>
  <c r="L109" i="23"/>
  <c r="L78" i="25" l="1"/>
  <c r="Q78" i="25"/>
  <c r="H79" i="25"/>
  <c r="G79" i="25"/>
  <c r="E80" i="25"/>
  <c r="N79" i="25"/>
  <c r="O79" i="25" s="1"/>
  <c r="M80" i="25"/>
  <c r="N111" i="23"/>
  <c r="O111" i="23" s="1"/>
  <c r="M112" i="23"/>
  <c r="E112" i="23"/>
  <c r="O110" i="23"/>
  <c r="H111" i="23"/>
  <c r="G111" i="23"/>
  <c r="L110" i="23"/>
  <c r="Q110" i="23"/>
  <c r="E81" i="25" l="1"/>
  <c r="M81" i="25"/>
  <c r="N80" i="25"/>
  <c r="O80" i="25" s="1"/>
  <c r="H80" i="25"/>
  <c r="G80" i="25"/>
  <c r="L79" i="25"/>
  <c r="Q79" i="25"/>
  <c r="L111" i="23"/>
  <c r="Q111" i="23"/>
  <c r="G112" i="23"/>
  <c r="H112" i="23"/>
  <c r="E113" i="23"/>
  <c r="N112" i="23"/>
  <c r="O112" i="23" s="1"/>
  <c r="M113" i="23"/>
  <c r="G81" i="25" l="1"/>
  <c r="H81" i="25"/>
  <c r="Q80" i="25"/>
  <c r="L80" i="25"/>
  <c r="E82" i="25"/>
  <c r="N81" i="25"/>
  <c r="O81" i="25" s="1"/>
  <c r="M82" i="25"/>
  <c r="N113" i="23"/>
  <c r="O113" i="23" s="1"/>
  <c r="M114" i="23"/>
  <c r="E114" i="23"/>
  <c r="H113" i="23"/>
  <c r="G113" i="23"/>
  <c r="L112" i="23"/>
  <c r="Q112" i="23"/>
  <c r="N82" i="25" l="1"/>
  <c r="O82" i="25" s="1"/>
  <c r="M83" i="25"/>
  <c r="E83" i="25"/>
  <c r="H82" i="25"/>
  <c r="G82" i="25"/>
  <c r="L81" i="25"/>
  <c r="Q81" i="25"/>
  <c r="L113" i="23"/>
  <c r="Q113" i="23"/>
  <c r="H114" i="23"/>
  <c r="G114" i="23"/>
  <c r="N114" i="23"/>
  <c r="O114" i="23" s="1"/>
  <c r="E115" i="23"/>
  <c r="M115" i="23"/>
  <c r="L82" i="25" l="1"/>
  <c r="Q82" i="25"/>
  <c r="H83" i="25"/>
  <c r="G83" i="25"/>
  <c r="M84" i="25"/>
  <c r="N83" i="25"/>
  <c r="O83" i="25" s="1"/>
  <c r="E84" i="25"/>
  <c r="G115" i="23"/>
  <c r="H115" i="23"/>
  <c r="E116" i="23"/>
  <c r="M116" i="23"/>
  <c r="N115" i="23"/>
  <c r="O115" i="23" s="1"/>
  <c r="L114" i="23"/>
  <c r="Q114" i="23"/>
  <c r="H84" i="25" l="1"/>
  <c r="G84" i="25"/>
  <c r="N84" i="25"/>
  <c r="O84" i="25" s="1"/>
  <c r="E85" i="25"/>
  <c r="M85" i="25"/>
  <c r="L83" i="25"/>
  <c r="Q83" i="25"/>
  <c r="E117" i="23"/>
  <c r="M117" i="23"/>
  <c r="N116" i="23"/>
  <c r="O116" i="23" s="1"/>
  <c r="G116" i="23"/>
  <c r="H116" i="23"/>
  <c r="L115" i="23"/>
  <c r="Q115" i="23"/>
  <c r="E86" i="25" l="1"/>
  <c r="M86" i="25"/>
  <c r="N85" i="25"/>
  <c r="O85" i="25" s="1"/>
  <c r="H85" i="25"/>
  <c r="G85" i="25"/>
  <c r="Q84" i="25"/>
  <c r="L84" i="25"/>
  <c r="H117" i="23"/>
  <c r="G117" i="23"/>
  <c r="L116" i="23"/>
  <c r="Q116" i="23"/>
  <c r="N117" i="23"/>
  <c r="O117" i="23" s="1"/>
  <c r="E118" i="23"/>
  <c r="M118" i="23"/>
  <c r="L85" i="25" l="1"/>
  <c r="Q85" i="25"/>
  <c r="N86" i="25"/>
  <c r="O86" i="25" s="1"/>
  <c r="M87" i="25"/>
  <c r="E87" i="25"/>
  <c r="G86" i="25"/>
  <c r="H86" i="25"/>
  <c r="H118" i="23"/>
  <c r="G118" i="23"/>
  <c r="L117" i="23"/>
  <c r="Q117" i="23"/>
  <c r="N118" i="23"/>
  <c r="O118" i="23" s="1"/>
  <c r="E119" i="23"/>
  <c r="M119" i="23"/>
  <c r="L86" i="25" l="1"/>
  <c r="Q86" i="25"/>
  <c r="G87" i="25"/>
  <c r="H87" i="25"/>
  <c r="E88" i="25"/>
  <c r="M88" i="25"/>
  <c r="N87" i="25"/>
  <c r="O87" i="25" s="1"/>
  <c r="Q118" i="23"/>
  <c r="L118" i="23"/>
  <c r="M120" i="23"/>
  <c r="E120" i="23"/>
  <c r="N119" i="23"/>
  <c r="O119" i="23" s="1"/>
  <c r="G119" i="23"/>
  <c r="H119" i="23"/>
  <c r="N88" i="25" l="1"/>
  <c r="O88" i="25" s="1"/>
  <c r="E89" i="25"/>
  <c r="M89" i="25"/>
  <c r="G88" i="25"/>
  <c r="H88" i="25"/>
  <c r="L87" i="25"/>
  <c r="Q87" i="25"/>
  <c r="M121" i="23"/>
  <c r="E121" i="23"/>
  <c r="N120" i="23"/>
  <c r="O120" i="23" s="1"/>
  <c r="L119" i="23"/>
  <c r="Q119" i="23"/>
  <c r="G120" i="23"/>
  <c r="H120" i="23"/>
  <c r="L88" i="25" l="1"/>
  <c r="Q88" i="25"/>
  <c r="E90" i="25"/>
  <c r="M90" i="25"/>
  <c r="N89" i="25"/>
  <c r="O89" i="25" s="1"/>
  <c r="G89" i="25"/>
  <c r="H89" i="25"/>
  <c r="G121" i="23"/>
  <c r="H121" i="23"/>
  <c r="Q120" i="23"/>
  <c r="L120" i="23"/>
  <c r="N121" i="23"/>
  <c r="O121" i="23" s="1"/>
  <c r="M122" i="23"/>
  <c r="E122" i="23"/>
  <c r="L89" i="25" l="1"/>
  <c r="Q89" i="25"/>
  <c r="M91" i="25"/>
  <c r="E91" i="25"/>
  <c r="N90" i="25"/>
  <c r="O90" i="25" s="1"/>
  <c r="H90" i="25"/>
  <c r="G90" i="25"/>
  <c r="Q121" i="23"/>
  <c r="L121" i="23"/>
  <c r="H122" i="23"/>
  <c r="G122" i="23"/>
  <c r="N122" i="23"/>
  <c r="O122" i="23" s="1"/>
  <c r="M123" i="23"/>
  <c r="E123" i="23"/>
  <c r="L90" i="25" l="1"/>
  <c r="Q90" i="25"/>
  <c r="H91" i="25"/>
  <c r="G91" i="25"/>
  <c r="N91" i="25"/>
  <c r="O91" i="25" s="1"/>
  <c r="E92" i="25"/>
  <c r="M92" i="25"/>
  <c r="M124" i="23"/>
  <c r="E124" i="23"/>
  <c r="N123" i="23"/>
  <c r="O123" i="23" s="1"/>
  <c r="G123" i="23"/>
  <c r="H123" i="23"/>
  <c r="L122" i="23"/>
  <c r="Q122" i="23"/>
  <c r="N92" i="25" l="1"/>
  <c r="O92" i="25" s="1"/>
  <c r="E93" i="25"/>
  <c r="M93" i="25"/>
  <c r="H92" i="25"/>
  <c r="G92" i="25"/>
  <c r="Q91" i="25"/>
  <c r="L91" i="25"/>
  <c r="M125" i="23"/>
  <c r="N124" i="23"/>
  <c r="O124" i="23" s="1"/>
  <c r="E125" i="23"/>
  <c r="L123" i="23"/>
  <c r="Q123" i="23"/>
  <c r="G124" i="23"/>
  <c r="H124" i="23"/>
  <c r="E94" i="25" l="1"/>
  <c r="M94" i="25"/>
  <c r="N93" i="25"/>
  <c r="O93" i="25" s="1"/>
  <c r="G93" i="25"/>
  <c r="H93" i="25"/>
  <c r="Q92" i="25"/>
  <c r="L92" i="25"/>
  <c r="N125" i="23"/>
  <c r="O125" i="23" s="1"/>
  <c r="E126" i="23"/>
  <c r="M126" i="23"/>
  <c r="L124" i="23"/>
  <c r="Q124" i="23"/>
  <c r="G125" i="23"/>
  <c r="H125" i="23"/>
  <c r="M95" i="25" l="1"/>
  <c r="E95" i="25"/>
  <c r="N94" i="25"/>
  <c r="O94" i="25" s="1"/>
  <c r="L93" i="25"/>
  <c r="Q93" i="25"/>
  <c r="G94" i="25"/>
  <c r="H94" i="25"/>
  <c r="L125" i="23"/>
  <c r="Q125" i="23"/>
  <c r="N126" i="23"/>
  <c r="O126" i="23" s="1"/>
  <c r="E127" i="23"/>
  <c r="M127" i="23"/>
  <c r="H126" i="23"/>
  <c r="G126" i="23"/>
  <c r="L94" i="25" l="1"/>
  <c r="Q94" i="25"/>
  <c r="H95" i="25"/>
  <c r="G95" i="25"/>
  <c r="E96" i="25"/>
  <c r="M96" i="25"/>
  <c r="N95" i="25"/>
  <c r="O95" i="25" s="1"/>
  <c r="L126" i="23"/>
  <c r="Q126" i="23"/>
  <c r="E128" i="23"/>
  <c r="M128" i="23"/>
  <c r="N127" i="23"/>
  <c r="O127" i="23" s="1"/>
  <c r="G127" i="23"/>
  <c r="H127" i="23"/>
  <c r="M97" i="25" l="1"/>
  <c r="N96" i="25"/>
  <c r="O96" i="25" s="1"/>
  <c r="E97" i="25"/>
  <c r="G96" i="25"/>
  <c r="H96" i="25"/>
  <c r="Q95" i="25"/>
  <c r="L95" i="25"/>
  <c r="L127" i="23"/>
  <c r="Q127" i="23"/>
  <c r="E129" i="23"/>
  <c r="M129" i="23"/>
  <c r="N128" i="23"/>
  <c r="O128" i="23" s="1"/>
  <c r="G128" i="23"/>
  <c r="H128" i="23"/>
  <c r="Q96" i="25" l="1"/>
  <c r="L96" i="25"/>
  <c r="G97" i="25"/>
  <c r="H97" i="25"/>
  <c r="E98" i="25"/>
  <c r="N97" i="25"/>
  <c r="O97" i="25" s="1"/>
  <c r="M98" i="25"/>
  <c r="L128" i="23"/>
  <c r="Q128" i="23"/>
  <c r="E130" i="23"/>
  <c r="M130" i="23"/>
  <c r="N129" i="23"/>
  <c r="O129" i="23" s="1"/>
  <c r="H129" i="23"/>
  <c r="G129" i="23"/>
  <c r="M99" i="25" l="1"/>
  <c r="E99" i="25"/>
  <c r="N98" i="25"/>
  <c r="O98" i="25" s="1"/>
  <c r="H98" i="25"/>
  <c r="G98" i="25"/>
  <c r="L97" i="25"/>
  <c r="Q97" i="25"/>
  <c r="L129" i="23"/>
  <c r="Q129" i="23"/>
  <c r="M131" i="23"/>
  <c r="E131" i="23"/>
  <c r="N130" i="23"/>
  <c r="O130" i="23" s="1"/>
  <c r="G130" i="23"/>
  <c r="H130" i="23"/>
  <c r="L98" i="25" l="1"/>
  <c r="Q98" i="25"/>
  <c r="H99" i="25"/>
  <c r="G99" i="25"/>
  <c r="M100" i="25"/>
  <c r="N99" i="25"/>
  <c r="O99" i="25" s="1"/>
  <c r="E100" i="25"/>
  <c r="Q130" i="23"/>
  <c r="L130" i="23"/>
  <c r="N131" i="23"/>
  <c r="O131" i="23" s="1"/>
  <c r="M132" i="23"/>
  <c r="E132" i="23"/>
  <c r="G131" i="23"/>
  <c r="H131" i="23"/>
  <c r="H100" i="25" l="1"/>
  <c r="G100" i="25"/>
  <c r="N100" i="25"/>
  <c r="O100" i="25" s="1"/>
  <c r="M101" i="25"/>
  <c r="E101" i="25"/>
  <c r="Q99" i="25"/>
  <c r="L99" i="25"/>
  <c r="Q131" i="23"/>
  <c r="L131" i="23"/>
  <c r="H132" i="23"/>
  <c r="G132" i="23"/>
  <c r="E133" i="23"/>
  <c r="N132" i="23"/>
  <c r="O132" i="23" s="1"/>
  <c r="O133" i="23" s="1"/>
  <c r="M102" i="25" l="1"/>
  <c r="E102" i="25"/>
  <c r="G101" i="25"/>
  <c r="H101" i="25"/>
  <c r="N101" i="25"/>
  <c r="O101" i="25" s="1"/>
  <c r="L100" i="25"/>
  <c r="Q100" i="25"/>
  <c r="H133" i="23"/>
  <c r="E135" i="23"/>
  <c r="Q132" i="23"/>
  <c r="L132" i="23"/>
  <c r="H135" i="23" l="1"/>
  <c r="L133" i="23"/>
  <c r="H102" i="25"/>
  <c r="G102" i="25"/>
  <c r="E103" i="25"/>
  <c r="M103" i="25"/>
  <c r="F132" i="25"/>
  <c r="N102" i="25"/>
  <c r="O102" i="25" s="1"/>
  <c r="L101" i="25"/>
  <c r="Q101" i="25"/>
  <c r="Q133" i="23"/>
  <c r="Q135" i="23" l="1"/>
  <c r="D26" i="23"/>
  <c r="J132" i="25"/>
  <c r="K132" i="25"/>
  <c r="M104" i="25"/>
  <c r="E104" i="25"/>
  <c r="N103" i="25"/>
  <c r="O103" i="25" s="1"/>
  <c r="G103" i="25"/>
  <c r="H103" i="25"/>
  <c r="L102" i="25"/>
  <c r="Q102" i="25"/>
  <c r="Q103" i="25" l="1"/>
  <c r="L103" i="25"/>
  <c r="H104" i="25"/>
  <c r="G104" i="25"/>
  <c r="N104" i="25"/>
  <c r="O104" i="25" s="1"/>
  <c r="E105" i="25"/>
  <c r="M105" i="25"/>
  <c r="M106" i="25" l="1"/>
  <c r="N105" i="25"/>
  <c r="O105" i="25" s="1"/>
  <c r="E106" i="25"/>
  <c r="G105" i="25"/>
  <c r="H105" i="25"/>
  <c r="L104" i="25"/>
  <c r="Q104" i="25"/>
  <c r="L105" i="25" l="1"/>
  <c r="Q105" i="25"/>
  <c r="G106" i="25"/>
  <c r="H106" i="25"/>
  <c r="N106" i="25"/>
  <c r="O106" i="25" s="1"/>
  <c r="E107" i="25"/>
  <c r="M107" i="25"/>
  <c r="N107" i="25" l="1"/>
  <c r="O107" i="25" s="1"/>
  <c r="E108" i="25"/>
  <c r="M108" i="25"/>
  <c r="G107" i="25"/>
  <c r="H107" i="25"/>
  <c r="L106" i="25"/>
  <c r="Q106" i="25"/>
  <c r="Q107" i="25" l="1"/>
  <c r="L107" i="25"/>
  <c r="M109" i="25"/>
  <c r="N108" i="25"/>
  <c r="O108" i="25" s="1"/>
  <c r="E109" i="25"/>
  <c r="H108" i="25"/>
  <c r="G108" i="25"/>
  <c r="Q108" i="25" l="1"/>
  <c r="L108" i="25"/>
  <c r="G109" i="25"/>
  <c r="H109" i="25"/>
  <c r="N109" i="25"/>
  <c r="O109" i="25" s="1"/>
  <c r="M110" i="25"/>
  <c r="E110" i="25"/>
  <c r="G110" i="25" l="1"/>
  <c r="H110" i="25"/>
  <c r="N110" i="25"/>
  <c r="O110" i="25" s="1"/>
  <c r="E111" i="25"/>
  <c r="M111" i="25"/>
  <c r="L109" i="25"/>
  <c r="Q109" i="25"/>
  <c r="E112" i="25" l="1"/>
  <c r="M112" i="25"/>
  <c r="N111" i="25"/>
  <c r="O111" i="25" s="1"/>
  <c r="H111" i="25"/>
  <c r="G111" i="25"/>
  <c r="Q110" i="25"/>
  <c r="L110" i="25"/>
  <c r="G112" i="25" l="1"/>
  <c r="H112" i="25"/>
  <c r="Q111" i="25"/>
  <c r="L111" i="25"/>
  <c r="N112" i="25"/>
  <c r="O112" i="25" s="1"/>
  <c r="E113" i="25"/>
  <c r="M113" i="25"/>
  <c r="N113" i="25" l="1"/>
  <c r="O113" i="25" s="1"/>
  <c r="E114" i="25"/>
  <c r="M114" i="25"/>
  <c r="H113" i="25"/>
  <c r="G113" i="25"/>
  <c r="L112" i="25"/>
  <c r="Q112" i="25"/>
  <c r="L113" i="25" l="1"/>
  <c r="Q113" i="25"/>
  <c r="N114" i="25"/>
  <c r="O114" i="25" s="1"/>
  <c r="E115" i="25"/>
  <c r="M115" i="25"/>
  <c r="H114" i="25"/>
  <c r="G114" i="25"/>
  <c r="Q114" i="25" l="1"/>
  <c r="L114" i="25"/>
  <c r="N115" i="25"/>
  <c r="O115" i="25" s="1"/>
  <c r="E116" i="25"/>
  <c r="M116" i="25"/>
  <c r="G115" i="25"/>
  <c r="H115" i="25"/>
  <c r="Q115" i="25" s="1"/>
  <c r="L115" i="25" l="1"/>
  <c r="M117" i="25"/>
  <c r="N116" i="25"/>
  <c r="O116" i="25" s="1"/>
  <c r="E117" i="25"/>
  <c r="H116" i="25"/>
  <c r="G116" i="25"/>
  <c r="L116" i="25" l="1"/>
  <c r="Q116" i="25"/>
  <c r="G117" i="25"/>
  <c r="H117" i="25"/>
  <c r="E118" i="25"/>
  <c r="N117" i="25"/>
  <c r="O117" i="25" s="1"/>
  <c r="M118" i="25"/>
  <c r="N118" i="25" l="1"/>
  <c r="O118" i="25" s="1"/>
  <c r="M119" i="25"/>
  <c r="E119" i="25"/>
  <c r="H118" i="25"/>
  <c r="G118" i="25"/>
  <c r="L117" i="25"/>
  <c r="Q117" i="25"/>
  <c r="Q118" i="25" l="1"/>
  <c r="L118" i="25"/>
  <c r="G119" i="25"/>
  <c r="H119" i="25"/>
  <c r="E120" i="25"/>
  <c r="N119" i="25"/>
  <c r="O119" i="25" s="1"/>
  <c r="M120" i="25"/>
  <c r="M121" i="25" l="1"/>
  <c r="N120" i="25"/>
  <c r="O120" i="25" s="1"/>
  <c r="E121" i="25"/>
  <c r="G120" i="25"/>
  <c r="H120" i="25"/>
  <c r="Q119" i="25"/>
  <c r="L119" i="25"/>
  <c r="L120" i="25" l="1"/>
  <c r="Q120" i="25"/>
  <c r="G121" i="25"/>
  <c r="H121" i="25"/>
  <c r="N121" i="25"/>
  <c r="O121" i="25" s="1"/>
  <c r="E122" i="25"/>
  <c r="M122" i="25"/>
  <c r="N122" i="25" l="1"/>
  <c r="O122" i="25" s="1"/>
  <c r="M123" i="25"/>
  <c r="E123" i="25"/>
  <c r="H122" i="25"/>
  <c r="G122" i="25"/>
  <c r="L121" i="25"/>
  <c r="Q121" i="25"/>
  <c r="N123" i="25" l="1"/>
  <c r="O123" i="25" s="1"/>
  <c r="E124" i="25"/>
  <c r="M124" i="25"/>
  <c r="Q122" i="25"/>
  <c r="L122" i="25"/>
  <c r="G123" i="25"/>
  <c r="H123" i="25"/>
  <c r="L123" i="25" l="1"/>
  <c r="Q123" i="25"/>
  <c r="M125" i="25"/>
  <c r="E125" i="25"/>
  <c r="N124" i="25"/>
  <c r="O124" i="25" s="1"/>
  <c r="H124" i="25"/>
  <c r="G124" i="25"/>
  <c r="L124" i="25" l="1"/>
  <c r="Q124" i="25"/>
  <c r="G125" i="25"/>
  <c r="H125" i="25"/>
  <c r="M126" i="25"/>
  <c r="E126" i="25"/>
  <c r="N125" i="25"/>
  <c r="O125" i="25" s="1"/>
  <c r="H126" i="25" l="1"/>
  <c r="G126" i="25"/>
  <c r="N126" i="25"/>
  <c r="O126" i="25" s="1"/>
  <c r="M127" i="25"/>
  <c r="E127" i="25"/>
  <c r="Q125" i="25"/>
  <c r="L125" i="25"/>
  <c r="G127" i="25" l="1"/>
  <c r="H127" i="25"/>
  <c r="N127" i="25"/>
  <c r="O127" i="25" s="1"/>
  <c r="E128" i="25"/>
  <c r="M128" i="25"/>
  <c r="Q126" i="25"/>
  <c r="L126" i="25"/>
  <c r="N128" i="25" l="1"/>
  <c r="O128" i="25" s="1"/>
  <c r="M129" i="25"/>
  <c r="E129" i="25"/>
  <c r="H128" i="25"/>
  <c r="G128" i="25"/>
  <c r="Q127" i="25"/>
  <c r="L127" i="25"/>
  <c r="L128" i="25" l="1"/>
  <c r="Q128" i="25"/>
  <c r="G129" i="25"/>
  <c r="H129" i="25"/>
  <c r="N129" i="25"/>
  <c r="O129" i="25" s="1"/>
  <c r="M130" i="25"/>
  <c r="E130" i="25"/>
  <c r="G130" i="25" l="1"/>
  <c r="H130" i="25"/>
  <c r="N130" i="25"/>
  <c r="O130" i="25" s="1"/>
  <c r="M131" i="25"/>
  <c r="E131" i="25"/>
  <c r="Q129" i="25"/>
  <c r="L129" i="25"/>
  <c r="H131" i="25" l="1"/>
  <c r="G131" i="25"/>
  <c r="E132" i="25"/>
  <c r="M132" i="25"/>
  <c r="N132" i="25" s="1"/>
  <c r="N131" i="25"/>
  <c r="O131" i="25" s="1"/>
  <c r="O132" i="25" s="1"/>
  <c r="L130" i="25"/>
  <c r="Q130" i="25"/>
  <c r="G132" i="25" l="1"/>
  <c r="H132" i="25"/>
  <c r="L131" i="25"/>
  <c r="Q131" i="25"/>
  <c r="L132" i="25" l="1"/>
  <c r="Q132" i="25"/>
  <c r="G133" i="23" l="1"/>
  <c r="G135" i="23" s="1"/>
  <c r="F135" i="23"/>
  <c r="K134" i="23"/>
  <c r="L134" i="23" s="1"/>
  <c r="L135" i="23" s="1"/>
  <c r="M133" i="23"/>
  <c r="J134" i="23"/>
  <c r="D28" i="23" s="1"/>
  <c r="D30" i="23" s="1"/>
  <c r="D39" i="23" s="1"/>
  <c r="F30" i="23" s="1"/>
  <c r="J135" i="23" l="1"/>
  <c r="E30" i="23"/>
  <c r="G30" i="23" s="1"/>
  <c r="F39" i="23"/>
  <c r="N133" i="23"/>
  <c r="K135" i="23"/>
  <c r="K137" i="23"/>
  <c r="K139" i="23" s="1"/>
  <c r="K45" i="27"/>
  <c r="J45" i="27"/>
  <c r="G6" i="27"/>
  <c r="J59" i="27"/>
  <c r="K59" i="27"/>
  <c r="K70" i="27"/>
  <c r="J70" i="27"/>
  <c r="J52" i="27"/>
  <c r="K52" i="27"/>
  <c r="K68" i="27"/>
  <c r="J68" i="27"/>
  <c r="J62" i="27"/>
  <c r="K62" i="27"/>
  <c r="J46" i="27"/>
  <c r="K46" i="27"/>
  <c r="K61" i="27"/>
  <c r="J61" i="27"/>
  <c r="J50" i="27"/>
  <c r="K50" i="27"/>
  <c r="J47" i="27"/>
  <c r="K47" i="27"/>
  <c r="J72" i="27"/>
  <c r="K72" i="27"/>
  <c r="J49" i="27"/>
  <c r="K49" i="27"/>
  <c r="K54" i="27"/>
  <c r="J54" i="27"/>
  <c r="J56" i="27"/>
  <c r="K56" i="27"/>
  <c r="K71" i="27"/>
  <c r="J71" i="27"/>
  <c r="J64" i="27"/>
  <c r="K64" i="27"/>
  <c r="J65" i="27"/>
  <c r="K65" i="27"/>
  <c r="J67" i="27"/>
  <c r="K67" i="27"/>
  <c r="K51" i="27"/>
  <c r="J51" i="27"/>
  <c r="J55" i="27"/>
  <c r="K55" i="27"/>
  <c r="J57" i="27"/>
  <c r="K57" i="27"/>
  <c r="J60" i="27"/>
  <c r="K60" i="27"/>
  <c r="J53" i="27"/>
  <c r="K53" i="27"/>
  <c r="K63" i="27"/>
  <c r="J63" i="27"/>
  <c r="K58" i="27"/>
  <c r="J58" i="27"/>
  <c r="K66" i="27"/>
  <c r="J66" i="27"/>
  <c r="J69" i="27"/>
  <c r="K69" i="27"/>
  <c r="J48" i="27"/>
  <c r="K48" i="27"/>
  <c r="M44" i="27"/>
  <c r="E45" i="27" s="1"/>
  <c r="M45" i="27" l="1"/>
  <c r="E39" i="23"/>
  <c r="F34" i="23"/>
  <c r="G45" i="27"/>
  <c r="H45" i="27"/>
  <c r="M46" i="27"/>
  <c r="N45" i="27"/>
  <c r="O45" i="27" s="1"/>
  <c r="E46" i="27"/>
  <c r="E33" i="23" l="1"/>
  <c r="E34" i="23" s="1"/>
  <c r="E35" i="23" s="1"/>
  <c r="G35" i="23"/>
  <c r="N46" i="27"/>
  <c r="O46" i="27" s="1"/>
  <c r="E47" i="27"/>
  <c r="M47" i="27"/>
  <c r="Q45" i="27"/>
  <c r="L45" i="27"/>
  <c r="H46" i="27"/>
  <c r="G46" i="27"/>
  <c r="Q46" i="27" l="1"/>
  <c r="L46" i="27"/>
  <c r="N47" i="27"/>
  <c r="O47" i="27" s="1"/>
  <c r="M48" i="27"/>
  <c r="E48" i="27"/>
  <c r="G47" i="27"/>
  <c r="H47" i="27"/>
  <c r="G48" i="27" l="1"/>
  <c r="H48" i="27"/>
  <c r="E49" i="27"/>
  <c r="N48" i="27"/>
  <c r="O48" i="27" s="1"/>
  <c r="M49" i="27"/>
  <c r="Q47" i="27"/>
  <c r="L47" i="27"/>
  <c r="G49" i="27" l="1"/>
  <c r="H49" i="27"/>
  <c r="Q48" i="27"/>
  <c r="L48" i="27"/>
  <c r="M50" i="27"/>
  <c r="N49" i="27"/>
  <c r="O49" i="27" s="1"/>
  <c r="E50" i="27"/>
  <c r="H50" i="27" l="1"/>
  <c r="G50" i="27"/>
  <c r="L49" i="27"/>
  <c r="Q49" i="27"/>
  <c r="M51" i="27"/>
  <c r="N50" i="27"/>
  <c r="O50" i="27" s="1"/>
  <c r="E51" i="27"/>
  <c r="G51" i="27" l="1"/>
  <c r="H51" i="27"/>
  <c r="E52" i="27"/>
  <c r="N51" i="27"/>
  <c r="O51" i="27" s="1"/>
  <c r="M52" i="27"/>
  <c r="L50" i="27"/>
  <c r="Q50" i="27"/>
  <c r="E53" i="27" l="1"/>
  <c r="N52" i="27"/>
  <c r="O52" i="27" s="1"/>
  <c r="M53" i="27"/>
  <c r="H52" i="27"/>
  <c r="G52" i="27"/>
  <c r="Q51" i="27"/>
  <c r="L51" i="27"/>
  <c r="G53" i="27" l="1"/>
  <c r="H53" i="27"/>
  <c r="Q52" i="27"/>
  <c r="L52" i="27"/>
  <c r="M54" i="27"/>
  <c r="N53" i="27"/>
  <c r="O53" i="27" s="1"/>
  <c r="E54" i="27"/>
  <c r="N54" i="27" l="1"/>
  <c r="O54" i="27" s="1"/>
  <c r="M55" i="27"/>
  <c r="E55" i="27"/>
  <c r="G54" i="27"/>
  <c r="H54" i="27"/>
  <c r="L53" i="27"/>
  <c r="Q53" i="27"/>
  <c r="L54" i="27" l="1"/>
  <c r="Q54" i="27"/>
  <c r="H55" i="27"/>
  <c r="G55" i="27"/>
  <c r="N55" i="27"/>
  <c r="O55" i="27" s="1"/>
  <c r="M56" i="27"/>
  <c r="E56" i="27"/>
  <c r="Q55" i="27" l="1"/>
  <c r="L55" i="27"/>
  <c r="H56" i="27"/>
  <c r="G56" i="27"/>
  <c r="E57" i="27"/>
  <c r="N56" i="27"/>
  <c r="O56" i="27" s="1"/>
  <c r="M57" i="27"/>
  <c r="N57" i="27" l="1"/>
  <c r="O57" i="27" s="1"/>
  <c r="M58" i="27"/>
  <c r="E58" i="27"/>
  <c r="L56" i="27"/>
  <c r="Q56" i="27"/>
  <c r="G57" i="27"/>
  <c r="H57" i="27"/>
  <c r="L57" i="27" l="1"/>
  <c r="Q57" i="27"/>
  <c r="H58" i="27"/>
  <c r="G58" i="27"/>
  <c r="E59" i="27"/>
  <c r="N58" i="27"/>
  <c r="O58" i="27" s="1"/>
  <c r="M59" i="27"/>
  <c r="L58" i="27" l="1"/>
  <c r="Q58" i="27"/>
  <c r="M60" i="27"/>
  <c r="N59" i="27"/>
  <c r="O59" i="27" s="1"/>
  <c r="E60" i="27"/>
  <c r="G59" i="27"/>
  <c r="H59" i="27"/>
  <c r="L59" i="27" l="1"/>
  <c r="Q59" i="27"/>
  <c r="E61" i="27"/>
  <c r="M61" i="27"/>
  <c r="N60" i="27"/>
  <c r="O60" i="27" s="1"/>
  <c r="H60" i="27"/>
  <c r="G60" i="27"/>
  <c r="E62" i="27" l="1"/>
  <c r="N61" i="27"/>
  <c r="O61" i="27" s="1"/>
  <c r="M62" i="27"/>
  <c r="G61" i="27"/>
  <c r="H61" i="27"/>
  <c r="Q60" i="27"/>
  <c r="L60" i="27"/>
  <c r="N62" i="27" l="1"/>
  <c r="O62" i="27" s="1"/>
  <c r="E63" i="27"/>
  <c r="M63" i="27"/>
  <c r="L61" i="27"/>
  <c r="Q61" i="27"/>
  <c r="H62" i="27"/>
  <c r="G62" i="27"/>
  <c r="N63" i="27" l="1"/>
  <c r="O63" i="27" s="1"/>
  <c r="E64" i="27"/>
  <c r="M64" i="27"/>
  <c r="Q62" i="27"/>
  <c r="L62" i="27"/>
  <c r="H63" i="27"/>
  <c r="G63" i="27"/>
  <c r="M65" i="27" l="1"/>
  <c r="N64" i="27"/>
  <c r="O64" i="27" s="1"/>
  <c r="E65" i="27"/>
  <c r="G64" i="27"/>
  <c r="H64" i="27"/>
  <c r="Q63" i="27"/>
  <c r="L63" i="27"/>
  <c r="G65" i="27" l="1"/>
  <c r="H65" i="27"/>
  <c r="L64" i="27"/>
  <c r="Q64" i="27"/>
  <c r="M66" i="27"/>
  <c r="E66" i="27"/>
  <c r="N65" i="27"/>
  <c r="O65" i="27" s="1"/>
  <c r="H66" i="27" l="1"/>
  <c r="G66" i="27"/>
  <c r="Q65" i="27"/>
  <c r="L65" i="27"/>
  <c r="E67" i="27"/>
  <c r="M67" i="27"/>
  <c r="N66" i="27"/>
  <c r="O66" i="27" s="1"/>
  <c r="G67" i="27" l="1"/>
  <c r="H67" i="27"/>
  <c r="Q66" i="27"/>
  <c r="L66" i="27"/>
  <c r="N67" i="27"/>
  <c r="O67" i="27" s="1"/>
  <c r="E68" i="27"/>
  <c r="M68" i="27"/>
  <c r="M69" i="27" l="1"/>
  <c r="N68" i="27"/>
  <c r="O68" i="27" s="1"/>
  <c r="E69" i="27"/>
  <c r="H68" i="27"/>
  <c r="G68" i="27"/>
  <c r="L67" i="27"/>
  <c r="Q67" i="27"/>
  <c r="L68" i="27" l="1"/>
  <c r="Q68" i="27"/>
  <c r="H69" i="27"/>
  <c r="G69" i="27"/>
  <c r="E70" i="27"/>
  <c r="M70" i="27"/>
  <c r="N69" i="27"/>
  <c r="O69" i="27" s="1"/>
  <c r="Q69" i="27" l="1"/>
  <c r="L69" i="27"/>
  <c r="E71" i="27"/>
  <c r="N70" i="27"/>
  <c r="O70" i="27" s="1"/>
  <c r="M71" i="27"/>
  <c r="H70" i="27"/>
  <c r="G70" i="27"/>
  <c r="G71" i="27" l="1"/>
  <c r="H71" i="27"/>
  <c r="Q70" i="27"/>
  <c r="L70" i="27"/>
  <c r="E72" i="27"/>
  <c r="N71" i="27"/>
  <c r="O71" i="27" s="1"/>
  <c r="M72" i="27"/>
  <c r="F73" i="27" s="1"/>
  <c r="J74" i="27" l="1"/>
  <c r="J75" i="27" s="1"/>
  <c r="D28" i="27" s="1"/>
  <c r="M73" i="27"/>
  <c r="F75" i="27"/>
  <c r="Q71" i="27"/>
  <c r="L71" i="27"/>
  <c r="N72" i="27"/>
  <c r="O72" i="27" s="1"/>
  <c r="E73" i="27"/>
  <c r="E75" i="27" s="1"/>
  <c r="H72" i="27"/>
  <c r="G72" i="27"/>
  <c r="L72" i="27" l="1"/>
  <c r="Q72" i="27"/>
  <c r="H73" i="27"/>
  <c r="L73" i="27" l="1"/>
  <c r="H75" i="27"/>
  <c r="Q73" i="27"/>
  <c r="Q75" i="27" l="1"/>
  <c r="D26" i="27"/>
  <c r="D30" i="27" s="1"/>
  <c r="G35" i="27" l="1"/>
  <c r="D39" i="27"/>
  <c r="E30" i="27" s="1"/>
  <c r="E39" i="27" s="1"/>
  <c r="N73" i="27"/>
  <c r="O73" i="27" s="1"/>
  <c r="G73" i="27"/>
  <c r="G75" i="27" s="1"/>
  <c r="F34" i="27" l="1"/>
  <c r="E33" i="27"/>
  <c r="E34" i="27" s="1"/>
  <c r="E35" i="27" s="1"/>
  <c r="K74" i="27"/>
  <c r="K75" i="27" l="1"/>
  <c r="K77" i="27" s="1"/>
  <c r="K79" i="27" s="1"/>
  <c r="L74" i="27"/>
  <c r="L75" i="27" s="1"/>
</calcChain>
</file>

<file path=xl/sharedStrings.xml><?xml version="1.0" encoding="utf-8"?>
<sst xmlns="http://schemas.openxmlformats.org/spreadsheetml/2006/main" count="412" uniqueCount="98">
  <si>
    <t>Tasa base anual</t>
  </si>
  <si>
    <t>mensual</t>
  </si>
  <si>
    <t>Capital inicial</t>
  </si>
  <si>
    <t>Amortización</t>
  </si>
  <si>
    <t>TIR (desde el punto de vista del prestamista, que pueda utlizar el flujo mensual nuevamente a la misma tasa)</t>
  </si>
  <si>
    <t>Tasa afectiva anual paga por el deudor en un año</t>
  </si>
  <si>
    <t>Flujo en Unidades de valor (UVCC)</t>
  </si>
  <si>
    <t>Flujo en Bs.</t>
  </si>
  <si>
    <r>
      <t xml:space="preserve">Var % TC </t>
    </r>
    <r>
      <rPr>
        <b/>
        <vertAlign val="subscript"/>
        <sz val="11"/>
        <color indexed="8"/>
        <rFont val="Calibri"/>
        <family val="2"/>
      </rPr>
      <t>t</t>
    </r>
  </si>
  <si>
    <t>Tasa i mensual (ibmc)</t>
  </si>
  <si>
    <t>Valor del "idi" en bolívares</t>
  </si>
  <si>
    <t>Pago de interés</t>
  </si>
  <si>
    <t>Pago total</t>
  </si>
  <si>
    <t>Saldo en final en  MM UVCC</t>
  </si>
  <si>
    <t>Saldo final en MM Bs.</t>
  </si>
  <si>
    <t>Total</t>
  </si>
  <si>
    <t>Capital inicial mm Bs.</t>
  </si>
  <si>
    <t>diario</t>
  </si>
  <si>
    <t>En Bs.</t>
  </si>
  <si>
    <t>día</t>
  </si>
  <si>
    <t>Valor en Bs. De la unidad de inversión</t>
  </si>
  <si>
    <t>Pago de rendimiento</t>
  </si>
  <si>
    <t>d/c interés</t>
  </si>
  <si>
    <t>d/c cambio actualización</t>
  </si>
  <si>
    <t>Principal</t>
  </si>
  <si>
    <t>Var %</t>
  </si>
  <si>
    <t>Amortización cap inicial</t>
  </si>
  <si>
    <t>Componente de actualización</t>
  </si>
  <si>
    <t>Sábado</t>
  </si>
  <si>
    <t>Domingo</t>
  </si>
  <si>
    <t>Ejemplo inyección a 7 días</t>
  </si>
  <si>
    <t>tasa de rendimiento de las operaciones de inyección</t>
  </si>
  <si>
    <t>troi</t>
  </si>
  <si>
    <t>tibai</t>
  </si>
  <si>
    <t>tasa de interés base anual para la inyección</t>
  </si>
  <si>
    <t>Capital</t>
  </si>
  <si>
    <t>Tasa</t>
  </si>
  <si>
    <t>Fechas</t>
  </si>
  <si>
    <t>Dias</t>
  </si>
  <si>
    <t>Intereses</t>
  </si>
  <si>
    <t xml:space="preserve">INTERESES DE YASIRA </t>
  </si>
  <si>
    <t xml:space="preserve">513.01.M.35 Rendimientos por los créditos comerciales vigentes objeto de las medidas establecidas por el BCV </t>
  </si>
  <si>
    <t xml:space="preserve"> </t>
  </si>
  <si>
    <t xml:space="preserve">513.01.M.36 Rendimientos por variación de créditos comerciales vigentes determinada según lo establecido por el BCV </t>
  </si>
  <si>
    <t>513.01.M.35</t>
  </si>
  <si>
    <t>513.01.M.36</t>
  </si>
  <si>
    <t>DIFERENCIAL INTERESES</t>
  </si>
  <si>
    <t>AL VCTO</t>
  </si>
  <si>
    <t>131-36 / 358</t>
  </si>
  <si>
    <t xml:space="preserve">PALZO </t>
  </si>
  <si>
    <t xml:space="preserve">30 DIAS </t>
  </si>
  <si>
    <t>DIA</t>
  </si>
  <si>
    <t>fecha de liquidacion</t>
  </si>
  <si>
    <t>lunes</t>
  </si>
  <si>
    <t>martes</t>
  </si>
  <si>
    <t>miercoles</t>
  </si>
  <si>
    <t>dia</t>
  </si>
  <si>
    <t>dicom</t>
  </si>
  <si>
    <t>idi</t>
  </si>
  <si>
    <t>variacion</t>
  </si>
  <si>
    <t>miércoles</t>
  </si>
  <si>
    <t>jueves</t>
  </si>
  <si>
    <t>viernes</t>
  </si>
  <si>
    <t>sábado</t>
  </si>
  <si>
    <t>domingo</t>
  </si>
  <si>
    <t>fecha bcv</t>
  </si>
  <si>
    <t>fecha de liquidación</t>
  </si>
  <si>
    <t>TASA MENSUAL</t>
  </si>
  <si>
    <t>TASA ANUAL</t>
  </si>
  <si>
    <t xml:space="preserve">cobro MENSUAL  bs </t>
  </si>
  <si>
    <t>el cobro mensual incluye</t>
  </si>
  <si>
    <t xml:space="preserve">intereses </t>
  </si>
  <si>
    <t>flat desembolso</t>
  </si>
  <si>
    <t>asesoria</t>
  </si>
  <si>
    <t>importante:  el credito con UVCC ,   ajusta diariamente el monto del capital   de acuerdo al desplazamiento del IDI</t>
  </si>
  <si>
    <t xml:space="preserve">El cliente debe considerar el impacto del desplazamento del tipo de cambio en el  costo o pago a la banca.  </t>
  </si>
  <si>
    <t xml:space="preserve">y depues del rmer mes </t>
  </si>
  <si>
    <t>Tasa de interes anual</t>
  </si>
  <si>
    <t>Costo del encaje  o financiamiento bs</t>
  </si>
  <si>
    <t>Ganancia o Perdida mensual bco</t>
  </si>
  <si>
    <t>total intereses bs</t>
  </si>
  <si>
    <t xml:space="preserve">total amortizacion </t>
  </si>
  <si>
    <t>total capital indexado</t>
  </si>
  <si>
    <t>total a pagar a vcto</t>
  </si>
  <si>
    <t>90 dias</t>
  </si>
  <si>
    <t>tasa mensual</t>
  </si>
  <si>
    <t>tasa trimestral</t>
  </si>
  <si>
    <t>tasa anual</t>
  </si>
  <si>
    <t>total comision asesoria</t>
  </si>
  <si>
    <t xml:space="preserve">este ejercicio corresponde a un credito otorgado el 17 de diciembre a 90 dias,  de acuerdo al comportamiento del IDI </t>
  </si>
  <si>
    <t>Bs</t>
  </si>
  <si>
    <t>plazo</t>
  </si>
  <si>
    <t>total</t>
  </si>
  <si>
    <t>vcto</t>
  </si>
  <si>
    <t xml:space="preserve">este ejercicio corresponde a un credito otorgado el 15 de febrero  a 30 dias,  de acuerdo al comportamiento del IDI </t>
  </si>
  <si>
    <t>PLAZO</t>
  </si>
  <si>
    <t>89 DIAS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</si>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</sst>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"/>
    <numFmt numFmtId="168" formatCode="_(* #,##0.0000_);_(* \(#,##0.0000\);_(* &quot;-&quot;??_);_(@_)"/>
    <numFmt numFmtId="169" formatCode="0.0%"/>
    <numFmt numFmtId="170" formatCode="0.000%"/>
    <numFmt numFmtId="171" formatCode="_(* #,##0.0_);_(* \(#,##0.0\);_(* &quot;-&quot;??_);_(@_)"/>
    <numFmt numFmtId="172" formatCode="_ * #,##0.0_ ;_ * \-#,##0.0_ ;_ * &quot;-&quot;?_ ;_ @_ "/>
    <numFmt numFmtId="173" formatCode="_ * #,##0.00000_ ;_ * \-#,##0.00000_ ;_ * &quot;-&quot;?_ ;_ @_ "/>
    <numFmt numFmtId="174" formatCode="_(* #,##0.00000_);_(* \(#,##0.00000\);_(* &quot;-&quot;??_);_(@_)"/>
    <numFmt numFmtId="175" formatCode="#,##0.00_ ;[Red]\-#,##0.00\ "/>
    <numFmt numFmtId="176" formatCode="dd/mm/yyyy;@"/>
    <numFmt numFmtId="177" formatCode="_ * #,##0.000_ ;_ * \-#,##0.000_ ;_ * &quot;-&quot;???_ ;_ @_ "/>
  </numFmts>
  <fonts count="14" x14ac:knownFonts="1">
    <font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</cellStyleXfs>
  <cellXfs count="253">
    <xf numFmtId="0" fontId="0" fillId="0" borderId="0" xfId="0"/>
    <xf numFmtId="0" fontId="7" fillId="0" borderId="1" xfId="0" applyFont="1" applyBorder="1"/>
    <xf numFmtId="0" fontId="7" fillId="0" borderId="2" xfId="0" applyFont="1" applyBorder="1"/>
    <xf numFmtId="164" fontId="7" fillId="0" borderId="3" xfId="1" applyFont="1" applyBorder="1"/>
    <xf numFmtId="165" fontId="7" fillId="0" borderId="3" xfId="1" applyNumberFormat="1" applyFont="1" applyBorder="1"/>
    <xf numFmtId="10" fontId="4" fillId="0" borderId="0" xfId="6" applyNumberFormat="1" applyFont="1"/>
    <xf numFmtId="0" fontId="7" fillId="0" borderId="2" xfId="0" applyFont="1" applyBorder="1" applyAlignment="1">
      <alignment horizontal="left" vertical="center" wrapText="1"/>
    </xf>
    <xf numFmtId="165" fontId="7" fillId="0" borderId="3" xfId="1" applyNumberFormat="1" applyFont="1" applyBorder="1" applyAlignment="1">
      <alignment vertical="center"/>
    </xf>
    <xf numFmtId="165" fontId="4" fillId="0" borderId="0" xfId="1" applyNumberFormat="1" applyFont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64" fontId="4" fillId="0" borderId="0" xfId="1" applyFont="1"/>
    <xf numFmtId="0" fontId="8" fillId="0" borderId="4" xfId="0" applyFont="1" applyBorder="1"/>
    <xf numFmtId="164" fontId="8" fillId="0" borderId="4" xfId="0" applyNumberFormat="1" applyFont="1" applyBorder="1"/>
    <xf numFmtId="169" fontId="4" fillId="0" borderId="0" xfId="6" applyNumberFormat="1" applyFont="1"/>
    <xf numFmtId="168" fontId="0" fillId="0" borderId="0" xfId="0" applyNumberFormat="1"/>
    <xf numFmtId="9" fontId="4" fillId="0" borderId="0" xfId="6" applyFont="1"/>
    <xf numFmtId="9" fontId="7" fillId="0" borderId="6" xfId="6" applyFont="1" applyBorder="1"/>
    <xf numFmtId="170" fontId="7" fillId="0" borderId="3" xfId="6" applyNumberFormat="1" applyFont="1" applyBorder="1"/>
    <xf numFmtId="0" fontId="7" fillId="0" borderId="7" xfId="0" applyFont="1" applyBorder="1"/>
    <xf numFmtId="165" fontId="7" fillId="0" borderId="8" xfId="1" applyNumberFormat="1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1" fontId="4" fillId="0" borderId="0" xfId="1" applyNumberFormat="1" applyFont="1"/>
    <xf numFmtId="0" fontId="0" fillId="2" borderId="0" xfId="0" applyFill="1"/>
    <xf numFmtId="0" fontId="0" fillId="3" borderId="0" xfId="0" applyFill="1"/>
    <xf numFmtId="166" fontId="4" fillId="0" borderId="0" xfId="1" applyNumberFormat="1" applyFont="1"/>
    <xf numFmtId="164" fontId="4" fillId="0" borderId="0" xfId="1" applyNumberFormat="1" applyFont="1"/>
    <xf numFmtId="164" fontId="4" fillId="2" borderId="0" xfId="1" applyFont="1" applyFill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9" fillId="4" borderId="0" xfId="0" applyFont="1" applyFill="1" applyBorder="1"/>
    <xf numFmtId="0" fontId="5" fillId="4" borderId="0" xfId="0" applyFont="1" applyFill="1"/>
    <xf numFmtId="0" fontId="7" fillId="0" borderId="7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68" fontId="0" fillId="2" borderId="11" xfId="0" applyNumberFormat="1" applyFill="1" applyBorder="1"/>
    <xf numFmtId="164" fontId="4" fillId="2" borderId="0" xfId="1" applyFont="1" applyFill="1" applyBorder="1"/>
    <xf numFmtId="164" fontId="0" fillId="2" borderId="12" xfId="0" applyNumberFormat="1" applyFill="1" applyBorder="1"/>
    <xf numFmtId="164" fontId="8" fillId="2" borderId="13" xfId="0" applyNumberFormat="1" applyFont="1" applyFill="1" applyBorder="1"/>
    <xf numFmtId="0" fontId="6" fillId="5" borderId="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164" fontId="0" fillId="5" borderId="11" xfId="0" applyNumberFormat="1" applyFill="1" applyBorder="1"/>
    <xf numFmtId="164" fontId="0" fillId="5" borderId="0" xfId="0" applyNumberFormat="1" applyFill="1" applyBorder="1"/>
    <xf numFmtId="164" fontId="0" fillId="5" borderId="12" xfId="0" applyNumberFormat="1" applyFill="1" applyBorder="1"/>
    <xf numFmtId="0" fontId="0" fillId="0" borderId="16" xfId="0" applyBorder="1"/>
    <xf numFmtId="171" fontId="4" fillId="0" borderId="16" xfId="1" applyNumberFormat="1" applyFont="1" applyBorder="1"/>
    <xf numFmtId="164" fontId="4" fillId="0" borderId="16" xfId="1" applyNumberFormat="1" applyFont="1" applyBorder="1"/>
    <xf numFmtId="164" fontId="4" fillId="0" borderId="16" xfId="1" applyFont="1" applyBorder="1"/>
    <xf numFmtId="164" fontId="4" fillId="2" borderId="16" xfId="1" applyFont="1" applyFill="1" applyBorder="1"/>
    <xf numFmtId="164" fontId="4" fillId="3" borderId="16" xfId="1" applyFont="1" applyFill="1" applyBorder="1"/>
    <xf numFmtId="0" fontId="10" fillId="0" borderId="0" xfId="0" applyFont="1"/>
    <xf numFmtId="164" fontId="4" fillId="0" borderId="0" xfId="1" applyFont="1" applyFill="1" applyBorder="1"/>
    <xf numFmtId="9" fontId="7" fillId="0" borderId="8" xfId="6" applyFont="1" applyBorder="1" applyAlignment="1">
      <alignment vertical="center"/>
    </xf>
    <xf numFmtId="172" fontId="0" fillId="0" borderId="0" xfId="0" applyNumberFormat="1"/>
    <xf numFmtId="173" fontId="0" fillId="0" borderId="0" xfId="0" applyNumberFormat="1"/>
    <xf numFmtId="174" fontId="4" fillId="0" borderId="0" xfId="1" applyNumberFormat="1" applyFont="1" applyFill="1" applyBorder="1"/>
    <xf numFmtId="43" fontId="0" fillId="0" borderId="0" xfId="0" applyNumberFormat="1"/>
    <xf numFmtId="164" fontId="0" fillId="6" borderId="0" xfId="0" applyNumberFormat="1" applyFill="1"/>
    <xf numFmtId="0" fontId="2" fillId="0" borderId="17" xfId="0" applyFont="1" applyBorder="1" applyAlignment="1">
      <alignment horizontal="center"/>
    </xf>
    <xf numFmtId="0" fontId="0" fillId="0" borderId="17" xfId="0" applyBorder="1"/>
    <xf numFmtId="4" fontId="0" fillId="0" borderId="17" xfId="0" applyNumberFormat="1" applyBorder="1"/>
    <xf numFmtId="9" fontId="0" fillId="0" borderId="17" xfId="0" applyNumberFormat="1" applyBorder="1"/>
    <xf numFmtId="14" fontId="0" fillId="0" borderId="17" xfId="0" applyNumberFormat="1" applyBorder="1"/>
    <xf numFmtId="1" fontId="0" fillId="0" borderId="17" xfId="0" applyNumberFormat="1" applyBorder="1"/>
    <xf numFmtId="1" fontId="6" fillId="0" borderId="0" xfId="0" applyNumberFormat="1" applyFont="1"/>
    <xf numFmtId="4" fontId="6" fillId="0" borderId="17" xfId="0" applyNumberFormat="1" applyFont="1" applyBorder="1"/>
    <xf numFmtId="164" fontId="4" fillId="2" borderId="0" xfId="1" applyFont="1" applyFill="1" applyBorder="1"/>
    <xf numFmtId="164" fontId="4" fillId="0" borderId="0" xfId="1" applyFont="1"/>
    <xf numFmtId="167" fontId="0" fillId="7" borderId="0" xfId="0" applyNumberFormat="1" applyFill="1"/>
    <xf numFmtId="164" fontId="7" fillId="6" borderId="6" xfId="1" applyFont="1" applyFill="1" applyBorder="1"/>
    <xf numFmtId="43" fontId="6" fillId="6" borderId="0" xfId="0" applyNumberFormat="1" applyFont="1" applyFill="1"/>
    <xf numFmtId="0" fontId="6" fillId="0" borderId="0" xfId="0" applyFont="1" applyAlignment="1">
      <alignment horizontal="center"/>
    </xf>
    <xf numFmtId="14" fontId="0" fillId="0" borderId="0" xfId="0" applyNumberFormat="1"/>
    <xf numFmtId="4" fontId="0" fillId="0" borderId="0" xfId="0" applyNumberFormat="1"/>
    <xf numFmtId="14" fontId="0" fillId="8" borderId="0" xfId="0" applyNumberFormat="1" applyFill="1"/>
    <xf numFmtId="4" fontId="0" fillId="8" borderId="0" xfId="0" applyNumberFormat="1" applyFill="1"/>
    <xf numFmtId="0" fontId="0" fillId="8" borderId="0" xfId="0" applyFill="1"/>
    <xf numFmtId="43" fontId="8" fillId="6" borderId="0" xfId="0" applyNumberFormat="1" applyFont="1" applyFill="1"/>
    <xf numFmtId="164" fontId="6" fillId="0" borderId="0" xfId="0" applyNumberFormat="1" applyFont="1"/>
    <xf numFmtId="43" fontId="6" fillId="0" borderId="0" xfId="0" applyNumberFormat="1" applyFont="1"/>
    <xf numFmtId="14" fontId="0" fillId="9" borderId="0" xfId="0" applyNumberFormat="1" applyFill="1"/>
    <xf numFmtId="167" fontId="0" fillId="9" borderId="0" xfId="0" applyNumberFormat="1" applyFill="1"/>
    <xf numFmtId="164" fontId="0" fillId="9" borderId="0" xfId="0" applyNumberFormat="1" applyFill="1"/>
    <xf numFmtId="168" fontId="0" fillId="9" borderId="11" xfId="0" applyNumberFormat="1" applyFill="1" applyBorder="1"/>
    <xf numFmtId="164" fontId="4" fillId="9" borderId="0" xfId="1" applyFont="1" applyFill="1" applyBorder="1"/>
    <xf numFmtId="164" fontId="0" fillId="9" borderId="12" xfId="0" applyNumberFormat="1" applyFill="1" applyBorder="1"/>
    <xf numFmtId="164" fontId="0" fillId="9" borderId="11" xfId="0" applyNumberFormat="1" applyFill="1" applyBorder="1"/>
    <xf numFmtId="164" fontId="0" fillId="9" borderId="0" xfId="0" applyNumberFormat="1" applyFill="1" applyBorder="1"/>
    <xf numFmtId="43" fontId="0" fillId="9" borderId="0" xfId="0" applyNumberFormat="1" applyFill="1"/>
    <xf numFmtId="0" fontId="0" fillId="9" borderId="0" xfId="0" applyFill="1"/>
    <xf numFmtId="0" fontId="6" fillId="0" borderId="0" xfId="0" applyFont="1"/>
    <xf numFmtId="0" fontId="0" fillId="0" borderId="0" xfId="0" applyAlignment="1">
      <alignment horizontal="right" indent="1"/>
    </xf>
    <xf numFmtId="0" fontId="7" fillId="0" borderId="0" xfId="0" applyFont="1" applyBorder="1" applyAlignment="1">
      <alignment horizontal="left" vertical="center" wrapText="1"/>
    </xf>
    <xf numFmtId="9" fontId="7" fillId="0" borderId="0" xfId="6" applyFont="1" applyBorder="1" applyAlignment="1">
      <alignment vertical="center"/>
    </xf>
    <xf numFmtId="0" fontId="0" fillId="5" borderId="20" xfId="0" applyFill="1" applyBorder="1" applyAlignment="1">
      <alignment wrapText="1"/>
    </xf>
    <xf numFmtId="0" fontId="0" fillId="5" borderId="0" xfId="0" applyFill="1"/>
    <xf numFmtId="0" fontId="0" fillId="0" borderId="26" xfId="0" applyBorder="1"/>
    <xf numFmtId="165" fontId="0" fillId="0" borderId="28" xfId="2" applyNumberFormat="1" applyFont="1" applyBorder="1"/>
    <xf numFmtId="0" fontId="0" fillId="0" borderId="0" xfId="0" applyBorder="1"/>
    <xf numFmtId="0" fontId="0" fillId="0" borderId="3" xfId="0" applyBorder="1"/>
    <xf numFmtId="9" fontId="0" fillId="0" borderId="0" xfId="6" applyFont="1"/>
    <xf numFmtId="0" fontId="0" fillId="0" borderId="7" xfId="0" applyBorder="1"/>
    <xf numFmtId="10" fontId="0" fillId="0" borderId="29" xfId="0" applyNumberFormat="1" applyBorder="1"/>
    <xf numFmtId="165" fontId="0" fillId="0" borderId="30" xfId="2" applyNumberFormat="1" applyFont="1" applyBorder="1"/>
    <xf numFmtId="0" fontId="0" fillId="0" borderId="5" xfId="0" applyBorder="1"/>
    <xf numFmtId="165" fontId="12" fillId="0" borderId="8" xfId="0" applyNumberFormat="1" applyFont="1" applyBorder="1"/>
    <xf numFmtId="0" fontId="0" fillId="10" borderId="1" xfId="0" applyFill="1" applyBorder="1"/>
    <xf numFmtId="0" fontId="0" fillId="10" borderId="25" xfId="0" applyFill="1" applyBorder="1"/>
    <xf numFmtId="0" fontId="0" fillId="10" borderId="6" xfId="0" applyFill="1" applyBorder="1"/>
    <xf numFmtId="0" fontId="0" fillId="10" borderId="2" xfId="0" applyFill="1" applyBorder="1"/>
    <xf numFmtId="10" fontId="0" fillId="10" borderId="0" xfId="0" applyNumberFormat="1" applyFill="1" applyBorder="1"/>
    <xf numFmtId="0" fontId="0" fillId="10" borderId="0" xfId="0" applyFill="1" applyBorder="1"/>
    <xf numFmtId="9" fontId="0" fillId="10" borderId="3" xfId="6" applyFont="1" applyFill="1" applyBorder="1"/>
    <xf numFmtId="0" fontId="0" fillId="10" borderId="7" xfId="0" applyFill="1" applyBorder="1"/>
    <xf numFmtId="10" fontId="0" fillId="10" borderId="5" xfId="0" applyNumberFormat="1" applyFill="1" applyBorder="1"/>
    <xf numFmtId="0" fontId="0" fillId="10" borderId="5" xfId="0" applyFill="1" applyBorder="1"/>
    <xf numFmtId="9" fontId="0" fillId="10" borderId="8" xfId="6" applyFont="1" applyFill="1" applyBorder="1"/>
    <xf numFmtId="9" fontId="0" fillId="10" borderId="0" xfId="0" applyNumberFormat="1" applyFill="1" applyBorder="1"/>
    <xf numFmtId="164" fontId="7" fillId="0" borderId="6" xfId="1" applyFont="1" applyFill="1" applyBorder="1"/>
    <xf numFmtId="164" fontId="7" fillId="11" borderId="3" xfId="1" applyFont="1" applyFill="1" applyBorder="1"/>
    <xf numFmtId="10" fontId="0" fillId="11" borderId="27" xfId="0" applyNumberFormat="1" applyFill="1" applyBorder="1"/>
    <xf numFmtId="0" fontId="7" fillId="9" borderId="0" xfId="0" applyFont="1" applyFill="1" applyBorder="1" applyAlignment="1">
      <alignment horizontal="left" vertical="center" wrapText="1"/>
    </xf>
    <xf numFmtId="164" fontId="0" fillId="0" borderId="16" xfId="0" applyNumberFormat="1" applyBorder="1"/>
    <xf numFmtId="10" fontId="0" fillId="5" borderId="0" xfId="6" applyNumberFormat="1" applyFont="1" applyFill="1"/>
    <xf numFmtId="9" fontId="0" fillId="5" borderId="0" xfId="6" applyFont="1" applyFill="1"/>
    <xf numFmtId="0" fontId="5" fillId="0" borderId="0" xfId="0" applyFont="1"/>
    <xf numFmtId="0" fontId="0" fillId="5" borderId="20" xfId="0" applyFill="1" applyBorder="1" applyAlignment="1">
      <alignment horizontal="center" wrapText="1"/>
    </xf>
    <xf numFmtId="0" fontId="0" fillId="5" borderId="19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0" fillId="2" borderId="0" xfId="0" applyNumberFormat="1" applyFill="1" applyBorder="1"/>
    <xf numFmtId="175" fontId="0" fillId="0" borderId="0" xfId="0" applyNumberFormat="1"/>
    <xf numFmtId="175" fontId="7" fillId="0" borderId="1" xfId="0" applyNumberFormat="1" applyFont="1" applyBorder="1"/>
    <xf numFmtId="175" fontId="7" fillId="0" borderId="6" xfId="1" applyNumberFormat="1" applyFont="1" applyFill="1" applyBorder="1"/>
    <xf numFmtId="175" fontId="7" fillId="0" borderId="2" xfId="0" applyNumberFormat="1" applyFont="1" applyBorder="1"/>
    <xf numFmtId="175" fontId="7" fillId="0" borderId="3" xfId="1" applyNumberFormat="1" applyFont="1" applyBorder="1"/>
    <xf numFmtId="175" fontId="5" fillId="0" borderId="0" xfId="0" applyNumberFormat="1" applyFont="1"/>
    <xf numFmtId="175" fontId="4" fillId="0" borderId="0" xfId="1" applyNumberFormat="1" applyFont="1"/>
    <xf numFmtId="175" fontId="4" fillId="0" borderId="0" xfId="6" applyNumberFormat="1" applyFont="1"/>
    <xf numFmtId="175" fontId="7" fillId="0" borderId="2" xfId="0" applyNumberFormat="1" applyFont="1" applyBorder="1" applyAlignment="1">
      <alignment horizontal="left" vertical="center" wrapText="1"/>
    </xf>
    <xf numFmtId="175" fontId="7" fillId="0" borderId="3" xfId="1" applyNumberFormat="1" applyFont="1" applyBorder="1" applyAlignment="1">
      <alignment vertical="center"/>
    </xf>
    <xf numFmtId="175" fontId="7" fillId="0" borderId="7" xfId="0" applyNumberFormat="1" applyFont="1" applyBorder="1" applyAlignment="1">
      <alignment horizontal="left" vertical="center" wrapText="1"/>
    </xf>
    <xf numFmtId="175" fontId="7" fillId="0" borderId="8" xfId="6" applyNumberFormat="1" applyFont="1" applyBorder="1" applyAlignment="1">
      <alignment vertical="center"/>
    </xf>
    <xf numFmtId="175" fontId="7" fillId="0" borderId="0" xfId="0" applyNumberFormat="1" applyFont="1" applyBorder="1" applyAlignment="1">
      <alignment horizontal="left" vertical="center" wrapText="1"/>
    </xf>
    <xf numFmtId="175" fontId="7" fillId="0" borderId="0" xfId="6" applyNumberFormat="1" applyFont="1" applyBorder="1" applyAlignment="1">
      <alignment vertical="center"/>
    </xf>
    <xf numFmtId="175" fontId="0" fillId="5" borderId="20" xfId="0" applyNumberFormat="1" applyFill="1" applyBorder="1" applyAlignment="1">
      <alignment wrapText="1"/>
    </xf>
    <xf numFmtId="175" fontId="0" fillId="5" borderId="20" xfId="0" applyNumberFormat="1" applyFill="1" applyBorder="1" applyAlignment="1">
      <alignment horizontal="center" wrapText="1"/>
    </xf>
    <xf numFmtId="175" fontId="0" fillId="5" borderId="19" xfId="0" applyNumberFormat="1" applyFill="1" applyBorder="1" applyAlignment="1">
      <alignment horizontal="center"/>
    </xf>
    <xf numFmtId="175" fontId="0" fillId="5" borderId="0" xfId="0" applyNumberFormat="1" applyFill="1"/>
    <xf numFmtId="175" fontId="7" fillId="11" borderId="3" xfId="1" applyNumberFormat="1" applyFont="1" applyFill="1" applyBorder="1"/>
    <xf numFmtId="175" fontId="0" fillId="0" borderId="26" xfId="0" applyNumberFormat="1" applyBorder="1"/>
    <xf numFmtId="175" fontId="0" fillId="0" borderId="28" xfId="2" applyNumberFormat="1" applyFont="1" applyBorder="1"/>
    <xf numFmtId="175" fontId="0" fillId="0" borderId="0" xfId="0" applyNumberFormat="1" applyBorder="1"/>
    <xf numFmtId="175" fontId="0" fillId="0" borderId="3" xfId="0" applyNumberFormat="1" applyBorder="1"/>
    <xf numFmtId="175" fontId="0" fillId="0" borderId="7" xfId="0" applyNumberFormat="1" applyBorder="1"/>
    <xf numFmtId="175" fontId="0" fillId="0" borderId="30" xfId="2" applyNumberFormat="1" applyFont="1" applyBorder="1"/>
    <xf numFmtId="175" fontId="0" fillId="0" borderId="5" xfId="0" applyNumberFormat="1" applyBorder="1"/>
    <xf numFmtId="175" fontId="12" fillId="0" borderId="8" xfId="0" applyNumberFormat="1" applyFont="1" applyBorder="1"/>
    <xf numFmtId="175" fontId="0" fillId="10" borderId="1" xfId="0" applyNumberFormat="1" applyFill="1" applyBorder="1"/>
    <xf numFmtId="175" fontId="0" fillId="10" borderId="25" xfId="0" applyNumberFormat="1" applyFill="1" applyBorder="1"/>
    <xf numFmtId="175" fontId="0" fillId="10" borderId="2" xfId="0" applyNumberFormat="1" applyFill="1" applyBorder="1"/>
    <xf numFmtId="175" fontId="0" fillId="10" borderId="0" xfId="0" applyNumberFormat="1" applyFill="1" applyBorder="1"/>
    <xf numFmtId="175" fontId="0" fillId="10" borderId="7" xfId="0" applyNumberFormat="1" applyFill="1" applyBorder="1"/>
    <xf numFmtId="175" fontId="0" fillId="10" borderId="5" xfId="0" applyNumberFormat="1" applyFill="1" applyBorder="1"/>
    <xf numFmtId="175" fontId="0" fillId="5" borderId="0" xfId="0" applyNumberFormat="1" applyFill="1" applyAlignment="1">
      <alignment horizontal="center"/>
    </xf>
    <xf numFmtId="175" fontId="7" fillId="9" borderId="0" xfId="0" applyNumberFormat="1" applyFont="1" applyFill="1" applyBorder="1" applyAlignment="1">
      <alignment horizontal="left" vertical="center" wrapText="1"/>
    </xf>
    <xf numFmtId="175" fontId="0" fillId="0" borderId="16" xfId="0" applyNumberFormat="1" applyBorder="1"/>
    <xf numFmtId="175" fontId="6" fillId="0" borderId="4" xfId="0" applyNumberFormat="1" applyFont="1" applyBorder="1" applyAlignment="1">
      <alignment horizontal="center" vertical="center" wrapText="1"/>
    </xf>
    <xf numFmtId="175" fontId="6" fillId="2" borderId="9" xfId="0" applyNumberFormat="1" applyFont="1" applyFill="1" applyBorder="1" applyAlignment="1">
      <alignment horizontal="center" vertical="center" wrapText="1"/>
    </xf>
    <xf numFmtId="175" fontId="6" fillId="2" borderId="5" xfId="0" applyNumberFormat="1" applyFont="1" applyFill="1" applyBorder="1" applyAlignment="1">
      <alignment horizontal="center" vertical="center" wrapText="1"/>
    </xf>
    <xf numFmtId="175" fontId="6" fillId="2" borderId="10" xfId="0" applyNumberFormat="1" applyFont="1" applyFill="1" applyBorder="1" applyAlignment="1">
      <alignment horizontal="center" vertical="center" wrapText="1"/>
    </xf>
    <xf numFmtId="175" fontId="6" fillId="5" borderId="9" xfId="0" applyNumberFormat="1" applyFont="1" applyFill="1" applyBorder="1" applyAlignment="1">
      <alignment horizontal="center" vertical="center" wrapText="1"/>
    </xf>
    <xf numFmtId="175" fontId="6" fillId="5" borderId="14" xfId="0" applyNumberFormat="1" applyFont="1" applyFill="1" applyBorder="1" applyAlignment="1">
      <alignment horizontal="center" vertical="center" wrapText="1"/>
    </xf>
    <xf numFmtId="175" fontId="6" fillId="0" borderId="0" xfId="0" applyNumberFormat="1" applyFont="1" applyBorder="1" applyAlignment="1">
      <alignment horizontal="center" vertical="center" wrapText="1"/>
    </xf>
    <xf numFmtId="175" fontId="6" fillId="2" borderId="11" xfId="0" applyNumberFormat="1" applyFont="1" applyFill="1" applyBorder="1" applyAlignment="1">
      <alignment horizontal="center" vertical="center" wrapText="1"/>
    </xf>
    <xf numFmtId="175" fontId="6" fillId="2" borderId="0" xfId="0" applyNumberFormat="1" applyFont="1" applyFill="1" applyBorder="1" applyAlignment="1">
      <alignment horizontal="center" vertical="center" wrapText="1"/>
    </xf>
    <xf numFmtId="175" fontId="6" fillId="2" borderId="12" xfId="0" applyNumberFormat="1" applyFont="1" applyFill="1" applyBorder="1" applyAlignment="1">
      <alignment horizontal="center" vertical="center" wrapText="1"/>
    </xf>
    <xf numFmtId="175" fontId="6" fillId="5" borderId="11" xfId="0" applyNumberFormat="1" applyFont="1" applyFill="1" applyBorder="1" applyAlignment="1">
      <alignment horizontal="center" vertical="center" wrapText="1"/>
    </xf>
    <xf numFmtId="175" fontId="6" fillId="5" borderId="15" xfId="0" applyNumberFormat="1" applyFont="1" applyFill="1" applyBorder="1" applyAlignment="1">
      <alignment horizontal="center" vertical="center" wrapText="1"/>
    </xf>
    <xf numFmtId="175" fontId="6" fillId="5" borderId="12" xfId="0" applyNumberFormat="1" applyFont="1" applyFill="1" applyBorder="1" applyAlignment="1">
      <alignment horizontal="center" vertical="center" wrapText="1"/>
    </xf>
    <xf numFmtId="175" fontId="6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 vertical="center" wrapText="1"/>
    </xf>
    <xf numFmtId="175" fontId="0" fillId="2" borderId="11" xfId="0" applyNumberFormat="1" applyFill="1" applyBorder="1" applyAlignment="1">
      <alignment horizontal="center" vertical="center" wrapText="1"/>
    </xf>
    <xf numFmtId="175" fontId="0" fillId="2" borderId="0" xfId="0" applyNumberFormat="1" applyFill="1" applyBorder="1" applyAlignment="1">
      <alignment horizontal="center" vertical="center" wrapText="1"/>
    </xf>
    <xf numFmtId="175" fontId="0" fillId="2" borderId="12" xfId="0" applyNumberFormat="1" applyFill="1" applyBorder="1" applyAlignment="1">
      <alignment horizontal="center" vertical="center" wrapText="1"/>
    </xf>
    <xf numFmtId="175" fontId="0" fillId="5" borderId="11" xfId="0" applyNumberFormat="1" applyFill="1" applyBorder="1" applyAlignment="1">
      <alignment horizontal="center" vertical="center" wrapText="1"/>
    </xf>
    <xf numFmtId="175" fontId="0" fillId="5" borderId="0" xfId="0" applyNumberFormat="1" applyFill="1" applyBorder="1" applyAlignment="1">
      <alignment horizontal="center" vertical="center" wrapText="1"/>
    </xf>
    <xf numFmtId="175" fontId="0" fillId="5" borderId="12" xfId="0" applyNumberFormat="1" applyFill="1" applyBorder="1" applyAlignment="1">
      <alignment horizontal="center" vertical="center" wrapText="1"/>
    </xf>
    <xf numFmtId="175" fontId="0" fillId="7" borderId="0" xfId="0" applyNumberFormat="1" applyFill="1"/>
    <xf numFmtId="175" fontId="0" fillId="6" borderId="0" xfId="0" applyNumberFormat="1" applyFill="1"/>
    <xf numFmtId="175" fontId="0" fillId="2" borderId="11" xfId="0" applyNumberFormat="1" applyFill="1" applyBorder="1"/>
    <xf numFmtId="175" fontId="4" fillId="2" borderId="0" xfId="1" applyNumberFormat="1" applyFont="1" applyFill="1" applyBorder="1"/>
    <xf numFmtId="175" fontId="0" fillId="2" borderId="12" xfId="0" applyNumberFormat="1" applyFill="1" applyBorder="1"/>
    <xf numFmtId="175" fontId="0" fillId="5" borderId="11" xfId="0" applyNumberFormat="1" applyFill="1" applyBorder="1"/>
    <xf numFmtId="175" fontId="0" fillId="5" borderId="0" xfId="0" applyNumberFormat="1" applyFill="1" applyBorder="1"/>
    <xf numFmtId="175" fontId="0" fillId="5" borderId="12" xfId="0" applyNumberFormat="1" applyFill="1" applyBorder="1"/>
    <xf numFmtId="175" fontId="0" fillId="2" borderId="0" xfId="0" applyNumberFormat="1" applyFill="1" applyBorder="1"/>
    <xf numFmtId="175" fontId="6" fillId="6" borderId="0" xfId="0" applyNumberFormat="1" applyFont="1" applyFill="1"/>
    <xf numFmtId="175" fontId="8" fillId="0" borderId="4" xfId="0" applyNumberFormat="1" applyFont="1" applyBorder="1"/>
    <xf numFmtId="175" fontId="8" fillId="2" borderId="13" xfId="0" applyNumberFormat="1" applyFont="1" applyFill="1" applyBorder="1"/>
    <xf numFmtId="175" fontId="6" fillId="0" borderId="0" xfId="0" applyNumberFormat="1" applyFont="1"/>
    <xf numFmtId="176" fontId="0" fillId="0" borderId="0" xfId="0" applyNumberFormat="1"/>
    <xf numFmtId="10" fontId="0" fillId="11" borderId="27" xfId="6" applyNumberFormat="1" applyFont="1" applyFill="1" applyBorder="1"/>
    <xf numFmtId="10" fontId="0" fillId="0" borderId="29" xfId="6" applyNumberFormat="1" applyFont="1" applyBorder="1"/>
    <xf numFmtId="10" fontId="0" fillId="10" borderId="0" xfId="6" applyNumberFormat="1" applyFont="1" applyFill="1" applyBorder="1"/>
    <xf numFmtId="10" fontId="0" fillId="10" borderId="5" xfId="6" applyNumberFormat="1" applyFont="1" applyFill="1" applyBorder="1"/>
    <xf numFmtId="9" fontId="0" fillId="10" borderId="6" xfId="6" applyFont="1" applyFill="1" applyBorder="1"/>
    <xf numFmtId="43" fontId="7" fillId="0" borderId="0" xfId="0" applyNumberFormat="1" applyFont="1" applyBorder="1" applyAlignment="1">
      <alignment horizontal="left" vertical="center" wrapText="1"/>
    </xf>
    <xf numFmtId="170" fontId="0" fillId="5" borderId="0" xfId="6" applyNumberFormat="1" applyFont="1" applyFill="1"/>
    <xf numFmtId="177" fontId="0" fillId="0" borderId="0" xfId="0" applyNumberFormat="1"/>
    <xf numFmtId="166" fontId="7" fillId="9" borderId="0" xfId="1" applyNumberFormat="1" applyFont="1" applyFill="1" applyBorder="1" applyAlignment="1">
      <alignment vertic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175" fontId="0" fillId="5" borderId="0" xfId="0" applyNumberFormat="1" applyFill="1" applyAlignment="1">
      <alignment horizontal="center" wrapText="1"/>
    </xf>
    <xf numFmtId="175" fontId="11" fillId="2" borderId="21" xfId="0" applyNumberFormat="1" applyFont="1" applyFill="1" applyBorder="1" applyAlignment="1">
      <alignment horizontal="center" vertical="center" wrapText="1"/>
    </xf>
    <xf numFmtId="175" fontId="11" fillId="2" borderId="19" xfId="0" applyNumberFormat="1" applyFont="1" applyFill="1" applyBorder="1" applyAlignment="1">
      <alignment horizontal="center" vertical="center" wrapText="1"/>
    </xf>
    <xf numFmtId="175" fontId="11" fillId="2" borderId="22" xfId="0" applyNumberFormat="1" applyFont="1" applyFill="1" applyBorder="1" applyAlignment="1">
      <alignment horizontal="center" vertical="center" wrapText="1"/>
    </xf>
    <xf numFmtId="175" fontId="11" fillId="5" borderId="21" xfId="0" applyNumberFormat="1" applyFont="1" applyFill="1" applyBorder="1" applyAlignment="1">
      <alignment horizontal="center" vertical="center"/>
    </xf>
    <xf numFmtId="175" fontId="11" fillId="5" borderId="19" xfId="0" applyNumberFormat="1" applyFont="1" applyFill="1" applyBorder="1" applyAlignment="1">
      <alignment horizontal="center" vertical="center"/>
    </xf>
    <xf numFmtId="175" fontId="11" fillId="5" borderId="22" xfId="0" applyNumberFormat="1" applyFont="1" applyFill="1" applyBorder="1" applyAlignment="1">
      <alignment horizontal="center" vertical="center"/>
    </xf>
    <xf numFmtId="175" fontId="6" fillId="5" borderId="18" xfId="0" applyNumberFormat="1" applyFont="1" applyFill="1" applyBorder="1" applyAlignment="1">
      <alignment horizontal="center" vertical="center" wrapText="1"/>
    </xf>
    <xf numFmtId="175" fontId="6" fillId="5" borderId="19" xfId="0" applyNumberFormat="1" applyFont="1" applyFill="1" applyBorder="1" applyAlignment="1">
      <alignment horizontal="center" vertical="center" wrapText="1"/>
    </xf>
    <xf numFmtId="175" fontId="6" fillId="5" borderId="20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wrapText="1"/>
    </xf>
  </cellXfs>
  <cellStyles count="7">
    <cellStyle name="Millares" xfId="1" builtinId="3"/>
    <cellStyle name="Millares 2" xfId="2"/>
    <cellStyle name="Normal" xfId="0" builtinId="0"/>
    <cellStyle name="Normal 2" xfId="3"/>
    <cellStyle name="Normal 3" xfId="4"/>
    <cellStyle name="Normal 4" xfId="5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177800</xdr:rowOff>
    </xdr:from>
    <xdr:to>
      <xdr:col>4</xdr:col>
      <xdr:colOff>133350</xdr:colOff>
      <xdr:row>20</xdr:row>
      <xdr:rowOff>146050</xdr:rowOff>
    </xdr:to>
    <xdr:pic>
      <xdr:nvPicPr>
        <xdr:cNvPr id="1071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78250"/>
          <a:ext cx="36830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opLeftCell="A16" workbookViewId="0">
      <selection activeCell="E16" sqref="E16"/>
    </sheetView>
  </sheetViews>
  <sheetFormatPr baseColWidth="10" defaultRowHeight="15" x14ac:dyDescent="0.25"/>
  <cols>
    <col min="2" max="2" width="19" customWidth="1"/>
    <col min="3" max="3" width="16" bestFit="1" customWidth="1"/>
    <col min="4" max="4" width="15.85546875" customWidth="1"/>
    <col min="5" max="5" width="15.140625" bestFit="1" customWidth="1"/>
    <col min="6" max="6" width="14.85546875" customWidth="1"/>
    <col min="7" max="7" width="15.140625" bestFit="1" customWidth="1"/>
    <col min="8" max="9" width="16.85546875" bestFit="1" customWidth="1"/>
    <col min="10" max="10" width="15.140625" bestFit="1" customWidth="1"/>
    <col min="11" max="11" width="13.140625" bestFit="1" customWidth="1"/>
    <col min="12" max="13" width="16.85546875" bestFit="1" customWidth="1"/>
  </cols>
  <sheetData>
    <row r="1" spans="1:13" ht="15.75" x14ac:dyDescent="0.25">
      <c r="B1" s="1" t="s">
        <v>0</v>
      </c>
      <c r="C1" s="20">
        <v>0.06</v>
      </c>
    </row>
    <row r="2" spans="1:13" ht="15.75" x14ac:dyDescent="0.25">
      <c r="B2" s="2" t="s">
        <v>17</v>
      </c>
      <c r="C2" s="21">
        <f>+C1/360</f>
        <v>1.6666666666666666E-4</v>
      </c>
    </row>
    <row r="3" spans="1:13" ht="16.5" thickBot="1" x14ac:dyDescent="0.3">
      <c r="B3" s="22" t="s">
        <v>2</v>
      </c>
      <c r="C3" s="23">
        <v>1000000000</v>
      </c>
    </row>
    <row r="4" spans="1:13" x14ac:dyDescent="0.25">
      <c r="E4" s="17"/>
    </row>
    <row r="5" spans="1:13" ht="16.5" thickBot="1" x14ac:dyDescent="0.3">
      <c r="B5" s="34" t="s">
        <v>30</v>
      </c>
      <c r="C5" s="35"/>
    </row>
    <row r="6" spans="1:13" ht="16.5" thickBot="1" x14ac:dyDescent="0.3">
      <c r="E6" s="226" t="s">
        <v>18</v>
      </c>
      <c r="F6" s="227"/>
      <c r="G6" s="227"/>
      <c r="H6" s="227"/>
      <c r="I6" s="228"/>
    </row>
    <row r="7" spans="1:13" ht="45.75" thickBot="1" x14ac:dyDescent="0.3">
      <c r="B7" s="32" t="s">
        <v>19</v>
      </c>
      <c r="C7" s="33" t="s">
        <v>25</v>
      </c>
      <c r="D7" s="33" t="s">
        <v>20</v>
      </c>
      <c r="E7" s="10" t="s">
        <v>21</v>
      </c>
      <c r="F7" s="24" t="s">
        <v>22</v>
      </c>
      <c r="G7" s="24" t="s">
        <v>23</v>
      </c>
      <c r="H7" s="10" t="s">
        <v>24</v>
      </c>
      <c r="I7" s="25" t="s">
        <v>12</v>
      </c>
    </row>
    <row r="8" spans="1:13" x14ac:dyDescent="0.25">
      <c r="B8">
        <v>1</v>
      </c>
      <c r="C8" s="26"/>
      <c r="D8" s="26">
        <v>100</v>
      </c>
      <c r="F8" s="27"/>
      <c r="G8" s="27"/>
      <c r="I8" s="28"/>
      <c r="J8" s="29">
        <v>15000</v>
      </c>
    </row>
    <row r="9" spans="1:13" x14ac:dyDescent="0.25">
      <c r="B9">
        <f t="shared" ref="B9:B15" si="0">1+B8</f>
        <v>2</v>
      </c>
      <c r="C9" s="26">
        <v>2</v>
      </c>
      <c r="D9" s="30">
        <f t="shared" ref="D9:D14" si="1">+D8*(1+C9/100)</f>
        <v>102</v>
      </c>
      <c r="E9" s="14">
        <f>+IF(D9&lt;$D$8,$C$3*$C$2*B9,((D9/$D$8)*(1+$C$2*(B9-$B$8))-1)*$C$3)</f>
        <v>20170000.000000022</v>
      </c>
      <c r="F9" s="31">
        <f t="shared" ref="F9:F15" si="2">+IF(D9&lt;$D$8,$C$3*$C$2*B9,($C$3/$D$8)*D9*$C$2*(B9-$B$8))</f>
        <v>170000</v>
      </c>
      <c r="G9" s="31">
        <f t="shared" ref="G9:G16" si="3">+IF(D9&lt;$D$8,0,$C$3*(D9/$D$8-1))</f>
        <v>20000000.000000019</v>
      </c>
      <c r="I9" s="28"/>
      <c r="J9" s="69">
        <f t="shared" ref="J9:J15" si="4">J8*(1+C9/100)</f>
        <v>15300</v>
      </c>
    </row>
    <row r="10" spans="1:13" x14ac:dyDescent="0.25">
      <c r="B10">
        <f t="shared" si="0"/>
        <v>3</v>
      </c>
      <c r="C10" s="26">
        <v>2</v>
      </c>
      <c r="D10" s="30">
        <f t="shared" si="1"/>
        <v>104.04</v>
      </c>
      <c r="E10" s="14">
        <f t="shared" ref="E10:E15" si="5">+IF(D10&lt;$D$8,$C$3*$C$2*B10,((D10/$D$8)*(1+$C$2*(B10-$B$8))-1)*$C$3)</f>
        <v>40746799.99999997</v>
      </c>
      <c r="F10" s="31">
        <f t="shared" si="2"/>
        <v>346800</v>
      </c>
      <c r="G10" s="31">
        <f t="shared" si="3"/>
        <v>40399999.999999993</v>
      </c>
      <c r="I10" s="28"/>
      <c r="J10" s="69">
        <f t="shared" si="4"/>
        <v>15606</v>
      </c>
    </row>
    <row r="11" spans="1:13" x14ac:dyDescent="0.25">
      <c r="B11">
        <f t="shared" si="0"/>
        <v>4</v>
      </c>
      <c r="C11" s="26">
        <v>3</v>
      </c>
      <c r="D11" s="30">
        <f t="shared" si="1"/>
        <v>107.16120000000001</v>
      </c>
      <c r="E11" s="14">
        <f t="shared" si="5"/>
        <v>72147806.00000003</v>
      </c>
      <c r="F11" s="31">
        <f t="shared" si="2"/>
        <v>535806</v>
      </c>
      <c r="G11" s="31">
        <f t="shared" si="3"/>
        <v>71612000.000000015</v>
      </c>
      <c r="I11" s="28"/>
      <c r="J11" s="69">
        <f t="shared" si="4"/>
        <v>16074.18</v>
      </c>
    </row>
    <row r="12" spans="1:13" x14ac:dyDescent="0.25">
      <c r="B12">
        <f t="shared" si="0"/>
        <v>5</v>
      </c>
      <c r="C12" s="26">
        <v>0</v>
      </c>
      <c r="D12" s="30">
        <f t="shared" si="1"/>
        <v>107.16120000000001</v>
      </c>
      <c r="E12" s="14">
        <f t="shared" si="5"/>
        <v>72326407.999999896</v>
      </c>
      <c r="F12" s="31">
        <f t="shared" si="2"/>
        <v>714408</v>
      </c>
      <c r="G12" s="31">
        <f t="shared" si="3"/>
        <v>71612000.000000015</v>
      </c>
      <c r="I12" s="28"/>
      <c r="J12" s="69">
        <f t="shared" si="4"/>
        <v>16074.18</v>
      </c>
    </row>
    <row r="13" spans="1:13" x14ac:dyDescent="0.25">
      <c r="A13" t="s">
        <v>28</v>
      </c>
      <c r="B13">
        <f t="shared" si="0"/>
        <v>6</v>
      </c>
      <c r="C13" s="26">
        <v>-2</v>
      </c>
      <c r="D13" s="30">
        <f t="shared" si="1"/>
        <v>105.017976</v>
      </c>
      <c r="E13" s="14">
        <f t="shared" si="5"/>
        <v>51054909.799999937</v>
      </c>
      <c r="F13" s="31">
        <f t="shared" si="2"/>
        <v>875149.79999999993</v>
      </c>
      <c r="G13" s="31">
        <f t="shared" si="3"/>
        <v>50179760.000000015</v>
      </c>
      <c r="I13" s="28"/>
      <c r="J13" s="69">
        <f t="shared" si="4"/>
        <v>15752.696400000001</v>
      </c>
    </row>
    <row r="14" spans="1:13" x14ac:dyDescent="0.25">
      <c r="A14" t="s">
        <v>29</v>
      </c>
      <c r="B14">
        <f t="shared" si="0"/>
        <v>7</v>
      </c>
      <c r="C14" s="26">
        <v>2</v>
      </c>
      <c r="D14" s="30">
        <f t="shared" si="1"/>
        <v>107.11833552</v>
      </c>
      <c r="E14" s="14">
        <f t="shared" si="5"/>
        <v>72254538.555200025</v>
      </c>
      <c r="F14" s="31">
        <f t="shared" si="2"/>
        <v>1071183.3551999999</v>
      </c>
      <c r="G14" s="31">
        <f t="shared" si="3"/>
        <v>71183355.200000077</v>
      </c>
      <c r="I14" s="28"/>
      <c r="J14" s="69">
        <f t="shared" si="4"/>
        <v>16067.750328000002</v>
      </c>
    </row>
    <row r="15" spans="1:13" ht="15.75" thickBot="1" x14ac:dyDescent="0.3">
      <c r="A15" s="60"/>
      <c r="B15" s="60">
        <f t="shared" si="0"/>
        <v>8</v>
      </c>
      <c r="C15" s="61">
        <v>2</v>
      </c>
      <c r="D15" s="62">
        <f>+D14*(1+C15/100)</f>
        <v>109.2607022304</v>
      </c>
      <c r="E15" s="63">
        <f t="shared" si="5"/>
        <v>93881730.496688128</v>
      </c>
      <c r="F15" s="64">
        <f t="shared" si="2"/>
        <v>1274708.1926879997</v>
      </c>
      <c r="G15" s="64">
        <f t="shared" si="3"/>
        <v>92607022.30400008</v>
      </c>
      <c r="H15" s="63">
        <f>+C3</f>
        <v>1000000000</v>
      </c>
      <c r="I15" s="65">
        <f>+H15+E15</f>
        <v>1093881730.4966881</v>
      </c>
      <c r="J15" s="69">
        <f t="shared" si="4"/>
        <v>16389.105334560001</v>
      </c>
      <c r="K15" s="19"/>
      <c r="L15" s="14"/>
      <c r="M15" s="14"/>
    </row>
    <row r="16" spans="1:13" ht="15.75" thickTop="1" x14ac:dyDescent="0.25">
      <c r="D16" s="71"/>
      <c r="G16" s="46">
        <f t="shared" si="3"/>
        <v>0</v>
      </c>
      <c r="J16" s="70">
        <f>J15/J8</f>
        <v>1.0926070223040001</v>
      </c>
      <c r="K16">
        <f>J16*(1+6%/360*(7))-1</f>
        <v>9.3881730496688132E-2</v>
      </c>
    </row>
    <row r="17" spans="1:5" x14ac:dyDescent="0.25">
      <c r="D17" s="5"/>
      <c r="E17" s="67">
        <f>LN(1+C9/100)</f>
        <v>1.980262729617973E-2</v>
      </c>
    </row>
    <row r="18" spans="1:5" x14ac:dyDescent="0.25">
      <c r="E18" s="67">
        <f t="shared" ref="E18:E23" si="6">LN(1+C10/100)</f>
        <v>1.980262729617973E-2</v>
      </c>
    </row>
    <row r="19" spans="1:5" x14ac:dyDescent="0.25">
      <c r="E19" s="67">
        <f t="shared" si="6"/>
        <v>2.9558802241544429E-2</v>
      </c>
    </row>
    <row r="20" spans="1:5" x14ac:dyDescent="0.25">
      <c r="E20" s="67">
        <f t="shared" si="6"/>
        <v>0</v>
      </c>
    </row>
    <row r="21" spans="1:5" x14ac:dyDescent="0.25">
      <c r="E21" s="67">
        <f t="shared" si="6"/>
        <v>-2.0202707317519466E-2</v>
      </c>
    </row>
    <row r="22" spans="1:5" x14ac:dyDescent="0.25">
      <c r="A22" s="66" t="s">
        <v>32</v>
      </c>
      <c r="B22" s="66" t="s">
        <v>31</v>
      </c>
      <c r="C22" s="66"/>
      <c r="D22" s="66"/>
      <c r="E22" s="67">
        <f t="shared" si="6"/>
        <v>1.980262729617973E-2</v>
      </c>
    </row>
    <row r="23" spans="1:5" x14ac:dyDescent="0.25">
      <c r="A23" s="66" t="s">
        <v>33</v>
      </c>
      <c r="B23" s="66" t="s">
        <v>34</v>
      </c>
      <c r="C23" s="66"/>
      <c r="D23" s="66"/>
      <c r="E23" s="67">
        <f t="shared" si="6"/>
        <v>1.980262729617973E-2</v>
      </c>
    </row>
    <row r="24" spans="1:5" x14ac:dyDescent="0.25">
      <c r="E24" s="18">
        <f>SUM(E17:E23)</f>
        <v>8.8566604108743896E-2</v>
      </c>
    </row>
    <row r="25" spans="1:5" x14ac:dyDescent="0.25">
      <c r="E25" s="71">
        <f>EXP(E24)</f>
        <v>1.0926070223040001</v>
      </c>
    </row>
  </sheetData>
  <sheetProtection algorithmName="SHA-512" hashValue="934I7IP/1MOlcp6TPWKKVi/Pvjf3etlT0KQLfMX4LN1kLWvt+MqzYFi2TTT7sjI6DYcUCUChvQZiFv+OwsPr5g==" saltValue="ycS1Ah7g3SC91S3SyCVM8w==" spinCount="100000" sheet="1" objects="1" scenarios="1"/>
  <mergeCells count="1">
    <mergeCell ref="E6:I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opLeftCell="A133" workbookViewId="0">
      <selection activeCell="E144" sqref="E144"/>
    </sheetView>
  </sheetViews>
  <sheetFormatPr baseColWidth="10" defaultRowHeight="15" x14ac:dyDescent="0.25"/>
  <sheetData>
    <row r="1" spans="1:7" x14ac:dyDescent="0.25">
      <c r="A1" t="s">
        <v>56</v>
      </c>
      <c r="B1" t="s">
        <v>65</v>
      </c>
      <c r="C1" t="s">
        <v>57</v>
      </c>
      <c r="D1" t="s">
        <v>58</v>
      </c>
      <c r="E1" t="s">
        <v>59</v>
      </c>
    </row>
    <row r="2" spans="1:7" x14ac:dyDescent="0.25">
      <c r="A2" t="s">
        <v>53</v>
      </c>
      <c r="B2" s="88">
        <v>43766</v>
      </c>
      <c r="C2" s="89">
        <v>20454.310000000001</v>
      </c>
      <c r="D2">
        <v>100</v>
      </c>
      <c r="F2" s="88">
        <v>43766</v>
      </c>
      <c r="G2">
        <f>B2-F2</f>
        <v>0</v>
      </c>
    </row>
    <row r="3" spans="1:7" x14ac:dyDescent="0.25">
      <c r="A3" t="s">
        <v>54</v>
      </c>
      <c r="B3" s="88">
        <v>43767</v>
      </c>
      <c r="C3" s="89">
        <v>21659.919999999998</v>
      </c>
      <c r="D3">
        <v>105.89</v>
      </c>
      <c r="E3">
        <f>D3-D2</f>
        <v>5.8900000000000006</v>
      </c>
      <c r="F3" s="88">
        <v>43767</v>
      </c>
      <c r="G3">
        <f t="shared" ref="G3:G66" si="0">B3-F3</f>
        <v>0</v>
      </c>
    </row>
    <row r="4" spans="1:7" x14ac:dyDescent="0.25">
      <c r="A4" t="s">
        <v>60</v>
      </c>
      <c r="B4" s="88">
        <v>43768</v>
      </c>
      <c r="C4" s="89">
        <v>23605.94</v>
      </c>
      <c r="D4">
        <v>115.41</v>
      </c>
      <c r="E4">
        <f t="shared" ref="E4:E67" si="1">D4-D3</f>
        <v>9.519999999999996</v>
      </c>
      <c r="F4" s="88">
        <v>43768</v>
      </c>
      <c r="G4">
        <f t="shared" si="0"/>
        <v>0</v>
      </c>
    </row>
    <row r="5" spans="1:7" x14ac:dyDescent="0.25">
      <c r="A5" t="s">
        <v>61</v>
      </c>
      <c r="B5" s="88">
        <v>43769</v>
      </c>
      <c r="C5" s="89">
        <v>24415.07</v>
      </c>
      <c r="D5">
        <v>119.36</v>
      </c>
      <c r="E5">
        <f t="shared" si="1"/>
        <v>3.9500000000000028</v>
      </c>
      <c r="F5" s="88">
        <v>43769</v>
      </c>
      <c r="G5">
        <f t="shared" si="0"/>
        <v>0</v>
      </c>
    </row>
    <row r="6" spans="1:7" x14ac:dyDescent="0.25">
      <c r="A6" t="s">
        <v>62</v>
      </c>
      <c r="B6" s="88">
        <v>43770</v>
      </c>
      <c r="C6" s="89">
        <v>23402.91</v>
      </c>
      <c r="D6">
        <v>114.42</v>
      </c>
      <c r="E6">
        <f t="shared" si="1"/>
        <v>-4.9399999999999977</v>
      </c>
      <c r="F6" s="88">
        <v>43770</v>
      </c>
      <c r="G6">
        <f t="shared" si="0"/>
        <v>0</v>
      </c>
    </row>
    <row r="7" spans="1:7" x14ac:dyDescent="0.25">
      <c r="A7" s="92" t="s">
        <v>63</v>
      </c>
      <c r="B7" s="90">
        <v>43771</v>
      </c>
      <c r="C7" s="91">
        <v>23402.91</v>
      </c>
      <c r="D7" s="92">
        <v>114.42</v>
      </c>
      <c r="E7" s="92">
        <f t="shared" si="1"/>
        <v>0</v>
      </c>
      <c r="F7" s="88">
        <v>43771</v>
      </c>
      <c r="G7">
        <f t="shared" si="0"/>
        <v>0</v>
      </c>
    </row>
    <row r="8" spans="1:7" x14ac:dyDescent="0.25">
      <c r="A8" s="92" t="s">
        <v>64</v>
      </c>
      <c r="B8" s="90">
        <v>43772</v>
      </c>
      <c r="C8" s="91">
        <v>23402.91</v>
      </c>
      <c r="D8" s="92">
        <v>114.42</v>
      </c>
      <c r="E8" s="92">
        <f t="shared" si="1"/>
        <v>0</v>
      </c>
      <c r="F8" s="88">
        <v>43772</v>
      </c>
      <c r="G8">
        <f t="shared" si="0"/>
        <v>0</v>
      </c>
    </row>
    <row r="9" spans="1:7" x14ac:dyDescent="0.25">
      <c r="A9" s="92" t="s">
        <v>53</v>
      </c>
      <c r="B9" s="90">
        <v>43773</v>
      </c>
      <c r="C9" s="91">
        <v>23402.91</v>
      </c>
      <c r="D9" s="92">
        <v>114.42</v>
      </c>
      <c r="E9" s="92">
        <f t="shared" si="1"/>
        <v>0</v>
      </c>
      <c r="F9" s="88">
        <v>43773</v>
      </c>
      <c r="G9">
        <f t="shared" si="0"/>
        <v>0</v>
      </c>
    </row>
    <row r="10" spans="1:7" x14ac:dyDescent="0.25">
      <c r="A10" t="s">
        <v>54</v>
      </c>
      <c r="B10" s="88">
        <v>43774</v>
      </c>
      <c r="C10" s="89">
        <v>22493.91</v>
      </c>
      <c r="D10">
        <v>109.97</v>
      </c>
      <c r="E10">
        <f t="shared" si="1"/>
        <v>-4.4500000000000028</v>
      </c>
      <c r="F10" s="88">
        <v>43774</v>
      </c>
      <c r="G10">
        <f t="shared" si="0"/>
        <v>0</v>
      </c>
    </row>
    <row r="11" spans="1:7" x14ac:dyDescent="0.25">
      <c r="A11" t="s">
        <v>60</v>
      </c>
      <c r="B11" s="88">
        <v>43775</v>
      </c>
      <c r="C11" s="89">
        <v>22715.94</v>
      </c>
      <c r="D11">
        <v>111.06</v>
      </c>
      <c r="E11">
        <f t="shared" si="1"/>
        <v>1.0900000000000034</v>
      </c>
      <c r="F11" s="88">
        <v>43775</v>
      </c>
      <c r="G11">
        <f t="shared" si="0"/>
        <v>0</v>
      </c>
    </row>
    <row r="12" spans="1:7" x14ac:dyDescent="0.25">
      <c r="A12" t="s">
        <v>61</v>
      </c>
      <c r="B12" s="88">
        <v>43776</v>
      </c>
      <c r="C12" s="89">
        <v>23533.38</v>
      </c>
      <c r="D12">
        <v>115.05</v>
      </c>
      <c r="E12">
        <f t="shared" si="1"/>
        <v>3.9899999999999949</v>
      </c>
      <c r="F12" s="88">
        <v>43776</v>
      </c>
      <c r="G12">
        <f t="shared" si="0"/>
        <v>0</v>
      </c>
    </row>
    <row r="13" spans="1:7" x14ac:dyDescent="0.25">
      <c r="A13" t="s">
        <v>62</v>
      </c>
      <c r="B13" s="88">
        <v>43777</v>
      </c>
      <c r="C13" s="89">
        <v>24228.33</v>
      </c>
      <c r="D13">
        <v>118.45</v>
      </c>
      <c r="E13">
        <f t="shared" si="1"/>
        <v>3.4000000000000057</v>
      </c>
      <c r="F13" s="88">
        <v>43777</v>
      </c>
      <c r="G13">
        <f t="shared" si="0"/>
        <v>0</v>
      </c>
    </row>
    <row r="14" spans="1:7" x14ac:dyDescent="0.25">
      <c r="A14" s="92" t="s">
        <v>63</v>
      </c>
      <c r="B14" s="90">
        <v>43778</v>
      </c>
      <c r="C14" s="91">
        <v>24228.33</v>
      </c>
      <c r="D14" s="92">
        <v>118.45</v>
      </c>
      <c r="E14" s="92">
        <f t="shared" si="1"/>
        <v>0</v>
      </c>
      <c r="F14" s="88">
        <v>43778</v>
      </c>
      <c r="G14">
        <f t="shared" si="0"/>
        <v>0</v>
      </c>
    </row>
    <row r="15" spans="1:7" x14ac:dyDescent="0.25">
      <c r="A15" s="92" t="s">
        <v>64</v>
      </c>
      <c r="B15" s="90">
        <v>43779</v>
      </c>
      <c r="C15" s="91">
        <v>24228.33</v>
      </c>
      <c r="D15" s="92">
        <v>118.45</v>
      </c>
      <c r="E15" s="92">
        <f t="shared" si="1"/>
        <v>0</v>
      </c>
      <c r="F15" s="88">
        <v>43779</v>
      </c>
      <c r="G15">
        <f t="shared" si="0"/>
        <v>0</v>
      </c>
    </row>
    <row r="16" spans="1:7" x14ac:dyDescent="0.25">
      <c r="A16" t="s">
        <v>53</v>
      </c>
      <c r="B16" s="88">
        <v>43780</v>
      </c>
      <c r="C16" s="89">
        <v>25734.28</v>
      </c>
      <c r="D16">
        <v>125.81</v>
      </c>
      <c r="E16">
        <f t="shared" si="1"/>
        <v>7.3599999999999994</v>
      </c>
      <c r="F16" s="88">
        <v>43780</v>
      </c>
      <c r="G16">
        <f t="shared" si="0"/>
        <v>0</v>
      </c>
    </row>
    <row r="17" spans="1:7" x14ac:dyDescent="0.25">
      <c r="A17" t="s">
        <v>54</v>
      </c>
      <c r="B17" s="88">
        <v>43781</v>
      </c>
      <c r="C17" s="89">
        <v>26781.57</v>
      </c>
      <c r="D17">
        <v>130.93</v>
      </c>
      <c r="E17">
        <f t="shared" si="1"/>
        <v>5.1200000000000045</v>
      </c>
      <c r="F17" s="88">
        <v>43781</v>
      </c>
      <c r="G17">
        <f t="shared" si="0"/>
        <v>0</v>
      </c>
    </row>
    <row r="18" spans="1:7" x14ac:dyDescent="0.25">
      <c r="A18" t="s">
        <v>60</v>
      </c>
      <c r="B18" s="88">
        <v>43782</v>
      </c>
      <c r="C18" s="89">
        <v>27962.02</v>
      </c>
      <c r="D18">
        <v>136.69999999999999</v>
      </c>
      <c r="E18">
        <f t="shared" si="1"/>
        <v>5.7699999999999818</v>
      </c>
      <c r="F18" s="88">
        <v>43782</v>
      </c>
      <c r="G18">
        <f t="shared" si="0"/>
        <v>0</v>
      </c>
    </row>
    <row r="19" spans="1:7" x14ac:dyDescent="0.25">
      <c r="A19" t="s">
        <v>61</v>
      </c>
      <c r="B19" s="88">
        <v>43783</v>
      </c>
      <c r="C19" s="89">
        <v>29949.68</v>
      </c>
      <c r="D19">
        <v>146.41999999999999</v>
      </c>
      <c r="E19">
        <f t="shared" si="1"/>
        <v>9.7199999999999989</v>
      </c>
      <c r="F19" s="88">
        <v>43783</v>
      </c>
      <c r="G19">
        <f t="shared" si="0"/>
        <v>0</v>
      </c>
    </row>
    <row r="20" spans="1:7" x14ac:dyDescent="0.25">
      <c r="A20" t="s">
        <v>62</v>
      </c>
      <c r="B20" s="88">
        <v>43784</v>
      </c>
      <c r="C20" s="89">
        <v>30085.86</v>
      </c>
      <c r="D20">
        <v>147.09</v>
      </c>
      <c r="E20">
        <f t="shared" si="1"/>
        <v>0.67000000000001592</v>
      </c>
      <c r="F20" s="88">
        <v>43784</v>
      </c>
      <c r="G20">
        <f t="shared" si="0"/>
        <v>0</v>
      </c>
    </row>
    <row r="21" spans="1:7" x14ac:dyDescent="0.25">
      <c r="A21" s="92" t="s">
        <v>63</v>
      </c>
      <c r="B21" s="90">
        <v>43785</v>
      </c>
      <c r="C21" s="91">
        <v>30085.86</v>
      </c>
      <c r="D21" s="92">
        <v>147.09</v>
      </c>
      <c r="E21" s="92">
        <f t="shared" si="1"/>
        <v>0</v>
      </c>
      <c r="F21" s="88">
        <v>43785</v>
      </c>
      <c r="G21">
        <f t="shared" si="0"/>
        <v>0</v>
      </c>
    </row>
    <row r="22" spans="1:7" x14ac:dyDescent="0.25">
      <c r="A22" s="92" t="s">
        <v>64</v>
      </c>
      <c r="B22" s="90">
        <v>43786</v>
      </c>
      <c r="C22" s="91">
        <v>30085.86</v>
      </c>
      <c r="D22" s="92">
        <v>147.09</v>
      </c>
      <c r="E22" s="92">
        <f t="shared" si="1"/>
        <v>0</v>
      </c>
      <c r="F22" s="88">
        <v>43786</v>
      </c>
      <c r="G22">
        <f t="shared" si="0"/>
        <v>0</v>
      </c>
    </row>
    <row r="23" spans="1:7" x14ac:dyDescent="0.25">
      <c r="A23" t="s">
        <v>53</v>
      </c>
      <c r="B23" s="88">
        <v>43787</v>
      </c>
      <c r="C23" s="89">
        <v>29383.24</v>
      </c>
      <c r="D23">
        <v>143.65</v>
      </c>
      <c r="E23">
        <f t="shared" si="1"/>
        <v>-3.4399999999999977</v>
      </c>
      <c r="F23" s="88">
        <v>43787</v>
      </c>
      <c r="G23">
        <f t="shared" si="0"/>
        <v>0</v>
      </c>
    </row>
    <row r="24" spans="1:7" x14ac:dyDescent="0.25">
      <c r="A24" t="s">
        <v>54</v>
      </c>
      <c r="B24" s="88">
        <v>43788</v>
      </c>
      <c r="C24" s="89">
        <v>28954.71</v>
      </c>
      <c r="D24">
        <v>141.56</v>
      </c>
      <c r="E24">
        <f t="shared" si="1"/>
        <v>-2.0900000000000034</v>
      </c>
      <c r="F24" s="88">
        <v>43788</v>
      </c>
      <c r="G24">
        <f t="shared" si="0"/>
        <v>0</v>
      </c>
    </row>
    <row r="25" spans="1:7" x14ac:dyDescent="0.25">
      <c r="A25" t="s">
        <v>60</v>
      </c>
      <c r="B25" s="88">
        <v>43789</v>
      </c>
      <c r="C25" s="89">
        <v>30435.05</v>
      </c>
      <c r="D25">
        <v>148.80000000000001</v>
      </c>
      <c r="E25">
        <f t="shared" si="1"/>
        <v>7.2400000000000091</v>
      </c>
      <c r="F25" s="88">
        <v>43789</v>
      </c>
      <c r="G25">
        <f t="shared" si="0"/>
        <v>0</v>
      </c>
    </row>
    <row r="26" spans="1:7" x14ac:dyDescent="0.25">
      <c r="A26" t="s">
        <v>61</v>
      </c>
      <c r="B26" s="88">
        <v>43790</v>
      </c>
      <c r="C26" s="89">
        <v>32096.080000000002</v>
      </c>
      <c r="D26">
        <v>156.91999999999999</v>
      </c>
      <c r="E26">
        <f t="shared" si="1"/>
        <v>8.1199999999999761</v>
      </c>
      <c r="F26" s="88">
        <v>43790</v>
      </c>
      <c r="G26">
        <f t="shared" si="0"/>
        <v>0</v>
      </c>
    </row>
    <row r="27" spans="1:7" x14ac:dyDescent="0.25">
      <c r="A27" t="s">
        <v>62</v>
      </c>
      <c r="B27" s="88">
        <v>43791</v>
      </c>
      <c r="C27" s="89">
        <v>32190.46</v>
      </c>
      <c r="D27">
        <v>157.38</v>
      </c>
      <c r="E27">
        <f t="shared" si="1"/>
        <v>0.46000000000000796</v>
      </c>
      <c r="F27" s="88">
        <v>43791</v>
      </c>
      <c r="G27">
        <f t="shared" si="0"/>
        <v>0</v>
      </c>
    </row>
    <row r="28" spans="1:7" x14ac:dyDescent="0.25">
      <c r="A28" s="92" t="s">
        <v>63</v>
      </c>
      <c r="B28" s="90">
        <v>43792</v>
      </c>
      <c r="C28" s="91">
        <v>32190.46</v>
      </c>
      <c r="D28" s="92">
        <v>157.38</v>
      </c>
      <c r="E28" s="92">
        <f t="shared" si="1"/>
        <v>0</v>
      </c>
      <c r="F28" s="88">
        <v>43792</v>
      </c>
      <c r="G28">
        <f t="shared" si="0"/>
        <v>0</v>
      </c>
    </row>
    <row r="29" spans="1:7" x14ac:dyDescent="0.25">
      <c r="A29" s="92" t="s">
        <v>64</v>
      </c>
      <c r="B29" s="90">
        <v>43793</v>
      </c>
      <c r="C29" s="91">
        <v>32190.46</v>
      </c>
      <c r="D29" s="92">
        <v>157.38</v>
      </c>
      <c r="E29" s="92">
        <f t="shared" si="1"/>
        <v>0</v>
      </c>
      <c r="F29" s="88">
        <v>43793</v>
      </c>
      <c r="G29">
        <f t="shared" si="0"/>
        <v>0</v>
      </c>
    </row>
    <row r="30" spans="1:7" x14ac:dyDescent="0.25">
      <c r="A30" t="s">
        <v>53</v>
      </c>
      <c r="B30" s="88">
        <v>43794</v>
      </c>
      <c r="C30" s="89">
        <v>32638.74</v>
      </c>
      <c r="D30">
        <v>159.57</v>
      </c>
      <c r="E30">
        <f t="shared" si="1"/>
        <v>2.1899999999999977</v>
      </c>
      <c r="F30" s="88">
        <v>43794</v>
      </c>
      <c r="G30">
        <f t="shared" si="0"/>
        <v>0</v>
      </c>
    </row>
    <row r="31" spans="1:7" x14ac:dyDescent="0.25">
      <c r="A31" t="s">
        <v>54</v>
      </c>
      <c r="B31" s="88">
        <v>43795</v>
      </c>
      <c r="C31" s="89">
        <v>33370.239999999998</v>
      </c>
      <c r="D31">
        <v>163.15</v>
      </c>
      <c r="E31">
        <f t="shared" si="1"/>
        <v>3.5800000000000125</v>
      </c>
      <c r="F31" s="88">
        <v>43795</v>
      </c>
      <c r="G31">
        <f t="shared" si="0"/>
        <v>0</v>
      </c>
    </row>
    <row r="32" spans="1:7" x14ac:dyDescent="0.25">
      <c r="A32" t="s">
        <v>60</v>
      </c>
      <c r="B32" s="88">
        <v>43796</v>
      </c>
      <c r="C32" s="89">
        <v>35470.61</v>
      </c>
      <c r="D32">
        <v>173.41</v>
      </c>
      <c r="E32">
        <f t="shared" si="1"/>
        <v>10.259999999999991</v>
      </c>
      <c r="F32" s="88">
        <v>43796</v>
      </c>
      <c r="G32">
        <f t="shared" si="0"/>
        <v>0</v>
      </c>
    </row>
    <row r="33" spans="1:7" x14ac:dyDescent="0.25">
      <c r="A33" t="s">
        <v>61</v>
      </c>
      <c r="B33" s="88">
        <v>43797</v>
      </c>
      <c r="C33" s="89">
        <v>36733.800000000003</v>
      </c>
      <c r="D33">
        <v>179.59</v>
      </c>
      <c r="E33">
        <f t="shared" si="1"/>
        <v>6.1800000000000068</v>
      </c>
      <c r="F33" s="88">
        <v>43797</v>
      </c>
      <c r="G33">
        <f t="shared" si="0"/>
        <v>0</v>
      </c>
    </row>
    <row r="34" spans="1:7" x14ac:dyDescent="0.25">
      <c r="A34" t="s">
        <v>62</v>
      </c>
      <c r="B34" s="88">
        <v>43798</v>
      </c>
      <c r="C34" s="89">
        <v>38204.22</v>
      </c>
      <c r="D34">
        <v>186.78</v>
      </c>
      <c r="E34">
        <f t="shared" si="1"/>
        <v>7.1899999999999977</v>
      </c>
      <c r="F34" s="88">
        <v>43798</v>
      </c>
      <c r="G34">
        <f t="shared" si="0"/>
        <v>0</v>
      </c>
    </row>
    <row r="35" spans="1:7" x14ac:dyDescent="0.25">
      <c r="A35" s="92" t="s">
        <v>63</v>
      </c>
      <c r="B35" s="90">
        <v>43799</v>
      </c>
      <c r="C35" s="91">
        <v>38204.22</v>
      </c>
      <c r="D35" s="92">
        <v>186.78</v>
      </c>
      <c r="E35" s="92">
        <f t="shared" si="1"/>
        <v>0</v>
      </c>
      <c r="F35" s="88">
        <v>43799</v>
      </c>
      <c r="G35">
        <f t="shared" si="0"/>
        <v>0</v>
      </c>
    </row>
    <row r="36" spans="1:7" x14ac:dyDescent="0.25">
      <c r="A36" s="92" t="s">
        <v>64</v>
      </c>
      <c r="B36" s="90">
        <v>43800</v>
      </c>
      <c r="C36" s="91">
        <v>38204.22</v>
      </c>
      <c r="D36" s="92">
        <v>186.78</v>
      </c>
      <c r="E36" s="92">
        <f t="shared" si="1"/>
        <v>0</v>
      </c>
      <c r="F36" s="88">
        <v>43800</v>
      </c>
      <c r="G36">
        <f t="shared" si="0"/>
        <v>0</v>
      </c>
    </row>
    <row r="37" spans="1:7" x14ac:dyDescent="0.25">
      <c r="A37" t="s">
        <v>53</v>
      </c>
      <c r="B37" s="88">
        <v>43801</v>
      </c>
      <c r="C37" s="89">
        <v>38980.83</v>
      </c>
      <c r="D37">
        <v>190.58</v>
      </c>
      <c r="E37">
        <f t="shared" si="1"/>
        <v>3.8000000000000114</v>
      </c>
      <c r="F37" s="88">
        <v>43801</v>
      </c>
      <c r="G37">
        <f t="shared" si="0"/>
        <v>0</v>
      </c>
    </row>
    <row r="38" spans="1:7" x14ac:dyDescent="0.25">
      <c r="A38" t="s">
        <v>54</v>
      </c>
      <c r="B38" s="88">
        <v>43802</v>
      </c>
      <c r="C38" s="89">
        <v>37606.160000000003</v>
      </c>
      <c r="D38">
        <v>183.85</v>
      </c>
      <c r="E38">
        <f t="shared" si="1"/>
        <v>-6.7300000000000182</v>
      </c>
      <c r="F38" s="88">
        <v>43802</v>
      </c>
      <c r="G38">
        <f t="shared" si="0"/>
        <v>0</v>
      </c>
    </row>
    <row r="39" spans="1:7" x14ac:dyDescent="0.25">
      <c r="A39" t="s">
        <v>60</v>
      </c>
      <c r="B39" s="88">
        <v>43803</v>
      </c>
      <c r="C39" s="89">
        <v>38455.75</v>
      </c>
      <c r="D39">
        <v>188.01</v>
      </c>
      <c r="E39">
        <f t="shared" si="1"/>
        <v>4.1599999999999966</v>
      </c>
      <c r="F39" s="88">
        <v>43803</v>
      </c>
      <c r="G39">
        <f t="shared" si="0"/>
        <v>0</v>
      </c>
    </row>
    <row r="40" spans="1:7" x14ac:dyDescent="0.25">
      <c r="A40" t="s">
        <v>61</v>
      </c>
      <c r="B40" s="88">
        <v>43804</v>
      </c>
      <c r="C40" s="89">
        <v>39947.599999999999</v>
      </c>
      <c r="D40">
        <v>195.3</v>
      </c>
      <c r="E40">
        <f t="shared" si="1"/>
        <v>7.2900000000000205</v>
      </c>
      <c r="F40" s="88">
        <v>43804</v>
      </c>
      <c r="G40">
        <f t="shared" si="0"/>
        <v>0</v>
      </c>
    </row>
    <row r="41" spans="1:7" x14ac:dyDescent="0.25">
      <c r="A41" t="s">
        <v>62</v>
      </c>
      <c r="B41" s="88">
        <v>43805</v>
      </c>
      <c r="C41" s="89">
        <v>41675.269999999997</v>
      </c>
      <c r="D41">
        <v>203.75</v>
      </c>
      <c r="E41">
        <f t="shared" si="1"/>
        <v>8.4499999999999886</v>
      </c>
      <c r="F41" s="88">
        <v>43805</v>
      </c>
      <c r="G41">
        <f t="shared" si="0"/>
        <v>0</v>
      </c>
    </row>
    <row r="42" spans="1:7" x14ac:dyDescent="0.25">
      <c r="A42" s="92" t="s">
        <v>63</v>
      </c>
      <c r="B42" s="90">
        <v>43806</v>
      </c>
      <c r="C42" s="91">
        <v>41675.269999999997</v>
      </c>
      <c r="D42" s="92">
        <v>203.75</v>
      </c>
      <c r="E42" s="92">
        <f t="shared" si="1"/>
        <v>0</v>
      </c>
      <c r="F42" s="88">
        <v>43806</v>
      </c>
      <c r="G42">
        <f t="shared" si="0"/>
        <v>0</v>
      </c>
    </row>
    <row r="43" spans="1:7" x14ac:dyDescent="0.25">
      <c r="A43" s="92" t="s">
        <v>64</v>
      </c>
      <c r="B43" s="90">
        <v>43807</v>
      </c>
      <c r="C43" s="91">
        <v>41675.269999999997</v>
      </c>
      <c r="D43" s="92">
        <v>203.75</v>
      </c>
      <c r="E43" s="92">
        <f t="shared" si="1"/>
        <v>0</v>
      </c>
      <c r="F43" s="88">
        <v>43807</v>
      </c>
      <c r="G43">
        <f t="shared" si="0"/>
        <v>0</v>
      </c>
    </row>
    <row r="44" spans="1:7" x14ac:dyDescent="0.25">
      <c r="A44" t="s">
        <v>53</v>
      </c>
      <c r="B44" s="88">
        <v>43808</v>
      </c>
      <c r="C44" s="89">
        <v>42087.68</v>
      </c>
      <c r="D44">
        <v>205.76</v>
      </c>
      <c r="E44">
        <f t="shared" si="1"/>
        <v>2.0099999999999909</v>
      </c>
      <c r="F44" s="88">
        <v>43808</v>
      </c>
      <c r="G44">
        <f t="shared" si="0"/>
        <v>0</v>
      </c>
    </row>
    <row r="45" spans="1:7" x14ac:dyDescent="0.25">
      <c r="A45" t="s">
        <v>54</v>
      </c>
      <c r="B45" s="88">
        <v>43809</v>
      </c>
      <c r="C45" s="89">
        <v>43651.16</v>
      </c>
      <c r="D45">
        <v>213.41</v>
      </c>
      <c r="E45">
        <f t="shared" si="1"/>
        <v>7.6500000000000057</v>
      </c>
      <c r="F45" s="88">
        <v>43809</v>
      </c>
      <c r="G45">
        <f t="shared" si="0"/>
        <v>0</v>
      </c>
    </row>
    <row r="46" spans="1:7" x14ac:dyDescent="0.25">
      <c r="A46" t="s">
        <v>60</v>
      </c>
      <c r="B46" s="88">
        <v>43810</v>
      </c>
      <c r="C46" s="89">
        <v>44610.46</v>
      </c>
      <c r="D46">
        <v>218.1</v>
      </c>
      <c r="E46">
        <f t="shared" si="1"/>
        <v>4.6899999999999977</v>
      </c>
      <c r="F46" s="88">
        <v>43810</v>
      </c>
      <c r="G46">
        <f t="shared" si="0"/>
        <v>0</v>
      </c>
    </row>
    <row r="47" spans="1:7" x14ac:dyDescent="0.25">
      <c r="A47" t="s">
        <v>61</v>
      </c>
      <c r="B47" s="88">
        <v>43811</v>
      </c>
      <c r="C47" s="89">
        <v>46134.44</v>
      </c>
      <c r="D47">
        <v>225.55</v>
      </c>
      <c r="E47">
        <f t="shared" si="1"/>
        <v>7.4500000000000171</v>
      </c>
      <c r="F47" s="88">
        <v>43811</v>
      </c>
      <c r="G47">
        <f t="shared" si="0"/>
        <v>0</v>
      </c>
    </row>
    <row r="48" spans="1:7" x14ac:dyDescent="0.25">
      <c r="A48" t="s">
        <v>62</v>
      </c>
      <c r="B48" s="88">
        <v>43812</v>
      </c>
      <c r="C48" s="89">
        <v>46291.62</v>
      </c>
      <c r="D48">
        <v>226.32</v>
      </c>
      <c r="E48">
        <f t="shared" si="1"/>
        <v>0.76999999999998181</v>
      </c>
      <c r="F48" s="88">
        <v>43812</v>
      </c>
      <c r="G48">
        <f t="shared" si="0"/>
        <v>0</v>
      </c>
    </row>
    <row r="49" spans="1:7" x14ac:dyDescent="0.25">
      <c r="A49" s="92" t="s">
        <v>63</v>
      </c>
      <c r="B49" s="90">
        <v>43813</v>
      </c>
      <c r="C49" s="91">
        <v>46291.62</v>
      </c>
      <c r="D49" s="92">
        <v>226.32</v>
      </c>
      <c r="E49" s="92">
        <f t="shared" si="1"/>
        <v>0</v>
      </c>
      <c r="F49" s="88">
        <v>43813</v>
      </c>
      <c r="G49">
        <f t="shared" si="0"/>
        <v>0</v>
      </c>
    </row>
    <row r="50" spans="1:7" x14ac:dyDescent="0.25">
      <c r="A50" s="92" t="s">
        <v>64</v>
      </c>
      <c r="B50" s="90">
        <v>43814</v>
      </c>
      <c r="C50" s="91">
        <v>46291.62</v>
      </c>
      <c r="D50" s="92">
        <v>226.32</v>
      </c>
      <c r="E50" s="92">
        <f t="shared" si="1"/>
        <v>0</v>
      </c>
      <c r="F50" s="88">
        <v>43814</v>
      </c>
      <c r="G50">
        <f t="shared" si="0"/>
        <v>0</v>
      </c>
    </row>
    <row r="51" spans="1:7" x14ac:dyDescent="0.25">
      <c r="A51" t="s">
        <v>53</v>
      </c>
      <c r="B51" s="88">
        <v>43815</v>
      </c>
      <c r="C51" s="89">
        <v>46304.26</v>
      </c>
      <c r="D51">
        <v>226.38</v>
      </c>
      <c r="E51">
        <f t="shared" si="1"/>
        <v>6.0000000000002274E-2</v>
      </c>
      <c r="F51" s="88">
        <v>43815</v>
      </c>
      <c r="G51">
        <f t="shared" si="0"/>
        <v>0</v>
      </c>
    </row>
    <row r="52" spans="1:7" x14ac:dyDescent="0.25">
      <c r="A52" t="s">
        <v>54</v>
      </c>
      <c r="B52" s="88">
        <v>43816</v>
      </c>
      <c r="C52" s="89">
        <v>46366.58</v>
      </c>
      <c r="D52">
        <v>226.68</v>
      </c>
      <c r="E52">
        <f t="shared" si="1"/>
        <v>0.30000000000001137</v>
      </c>
      <c r="F52" s="88">
        <v>43816</v>
      </c>
      <c r="G52">
        <f t="shared" si="0"/>
        <v>0</v>
      </c>
    </row>
    <row r="53" spans="1:7" x14ac:dyDescent="0.25">
      <c r="A53" t="s">
        <v>60</v>
      </c>
      <c r="B53" s="88">
        <v>43817</v>
      </c>
      <c r="C53" s="89">
        <v>46946.27</v>
      </c>
      <c r="D53">
        <v>229.52</v>
      </c>
      <c r="E53">
        <f t="shared" si="1"/>
        <v>2.8400000000000034</v>
      </c>
      <c r="F53" s="88">
        <v>43817</v>
      </c>
      <c r="G53">
        <f t="shared" si="0"/>
        <v>0</v>
      </c>
    </row>
    <row r="54" spans="1:7" x14ac:dyDescent="0.25">
      <c r="A54" t="s">
        <v>61</v>
      </c>
      <c r="B54" s="88">
        <v>43818</v>
      </c>
      <c r="C54" s="89">
        <v>47942.86</v>
      </c>
      <c r="D54">
        <v>234.39</v>
      </c>
      <c r="E54">
        <f t="shared" si="1"/>
        <v>4.8699999999999761</v>
      </c>
      <c r="F54" s="88">
        <v>43818</v>
      </c>
      <c r="G54">
        <f t="shared" si="0"/>
        <v>0</v>
      </c>
    </row>
    <row r="55" spans="1:7" x14ac:dyDescent="0.25">
      <c r="A55" t="s">
        <v>62</v>
      </c>
      <c r="B55" s="88">
        <v>43819</v>
      </c>
      <c r="C55" s="89">
        <v>47167.49</v>
      </c>
      <c r="D55">
        <v>230.6</v>
      </c>
      <c r="E55">
        <f t="shared" si="1"/>
        <v>-3.789999999999992</v>
      </c>
      <c r="F55" s="88">
        <v>43819</v>
      </c>
      <c r="G55">
        <f t="shared" si="0"/>
        <v>0</v>
      </c>
    </row>
    <row r="56" spans="1:7" x14ac:dyDescent="0.25">
      <c r="A56" s="92" t="s">
        <v>63</v>
      </c>
      <c r="B56" s="90">
        <v>43820</v>
      </c>
      <c r="C56" s="91">
        <v>47167.49</v>
      </c>
      <c r="D56" s="92">
        <v>230.6</v>
      </c>
      <c r="E56" s="92">
        <f t="shared" si="1"/>
        <v>0</v>
      </c>
      <c r="F56" s="88">
        <v>43820</v>
      </c>
      <c r="G56">
        <f t="shared" si="0"/>
        <v>0</v>
      </c>
    </row>
    <row r="57" spans="1:7" x14ac:dyDescent="0.25">
      <c r="A57" s="92" t="s">
        <v>64</v>
      </c>
      <c r="B57" s="90">
        <v>43821</v>
      </c>
      <c r="C57" s="91">
        <v>47167.49</v>
      </c>
      <c r="D57" s="92">
        <v>230.6</v>
      </c>
      <c r="E57" s="92">
        <f t="shared" si="1"/>
        <v>0</v>
      </c>
      <c r="F57" s="88">
        <v>43821</v>
      </c>
      <c r="G57">
        <f t="shared" si="0"/>
        <v>0</v>
      </c>
    </row>
    <row r="58" spans="1:7" x14ac:dyDescent="0.25">
      <c r="A58" t="s">
        <v>53</v>
      </c>
      <c r="B58" s="88">
        <v>43822</v>
      </c>
      <c r="C58" s="89">
        <v>46677.2</v>
      </c>
      <c r="D58">
        <v>228.2</v>
      </c>
      <c r="E58">
        <f t="shared" si="1"/>
        <v>-2.4000000000000057</v>
      </c>
      <c r="F58" s="88">
        <v>43822</v>
      </c>
      <c r="G58">
        <f t="shared" si="0"/>
        <v>0</v>
      </c>
    </row>
    <row r="59" spans="1:7" x14ac:dyDescent="0.25">
      <c r="A59" s="92" t="s">
        <v>54</v>
      </c>
      <c r="B59" s="90">
        <v>43823</v>
      </c>
      <c r="C59" s="91">
        <v>46677.2</v>
      </c>
      <c r="D59" s="92">
        <v>228.2</v>
      </c>
      <c r="E59" s="92">
        <f t="shared" si="1"/>
        <v>0</v>
      </c>
      <c r="F59" s="88">
        <v>43823</v>
      </c>
      <c r="G59">
        <f t="shared" si="0"/>
        <v>0</v>
      </c>
    </row>
    <row r="60" spans="1:7" x14ac:dyDescent="0.25">
      <c r="A60" s="92" t="s">
        <v>60</v>
      </c>
      <c r="B60" s="90">
        <v>43824</v>
      </c>
      <c r="C60" s="91">
        <v>46677.2</v>
      </c>
      <c r="D60" s="92">
        <v>228.2</v>
      </c>
      <c r="E60" s="92">
        <f t="shared" si="1"/>
        <v>0</v>
      </c>
      <c r="F60" s="88">
        <v>43824</v>
      </c>
      <c r="G60">
        <f t="shared" si="0"/>
        <v>0</v>
      </c>
    </row>
    <row r="61" spans="1:7" x14ac:dyDescent="0.25">
      <c r="A61" t="s">
        <v>61</v>
      </c>
      <c r="B61" s="88">
        <v>43825</v>
      </c>
      <c r="C61" s="89">
        <v>45553.21</v>
      </c>
      <c r="D61">
        <v>222.71</v>
      </c>
      <c r="E61">
        <f t="shared" si="1"/>
        <v>-5.4899999999999807</v>
      </c>
      <c r="F61" s="88">
        <v>43825</v>
      </c>
      <c r="G61">
        <f t="shared" si="0"/>
        <v>0</v>
      </c>
    </row>
    <row r="62" spans="1:7" x14ac:dyDescent="0.25">
      <c r="A62" t="s">
        <v>62</v>
      </c>
      <c r="B62" s="88">
        <v>43826</v>
      </c>
      <c r="C62" s="89">
        <v>45257.38</v>
      </c>
      <c r="D62">
        <v>221.26</v>
      </c>
      <c r="E62">
        <f t="shared" si="1"/>
        <v>-1.4500000000000171</v>
      </c>
      <c r="F62" s="88">
        <v>43826</v>
      </c>
      <c r="G62">
        <f t="shared" si="0"/>
        <v>0</v>
      </c>
    </row>
    <row r="63" spans="1:7" x14ac:dyDescent="0.25">
      <c r="A63" s="92" t="s">
        <v>63</v>
      </c>
      <c r="B63" s="90">
        <v>43827</v>
      </c>
      <c r="C63" s="91">
        <v>45257.38</v>
      </c>
      <c r="D63" s="92">
        <v>221.26</v>
      </c>
      <c r="E63" s="92">
        <f t="shared" si="1"/>
        <v>0</v>
      </c>
      <c r="F63" s="88">
        <v>43827</v>
      </c>
      <c r="G63">
        <f t="shared" si="0"/>
        <v>0</v>
      </c>
    </row>
    <row r="64" spans="1:7" x14ac:dyDescent="0.25">
      <c r="A64" s="92" t="s">
        <v>64</v>
      </c>
      <c r="B64" s="90">
        <v>43828</v>
      </c>
      <c r="C64" s="91">
        <v>45257.38</v>
      </c>
      <c r="D64" s="92">
        <v>221.26</v>
      </c>
      <c r="E64" s="92">
        <f t="shared" si="1"/>
        <v>0</v>
      </c>
      <c r="F64" s="88">
        <v>43828</v>
      </c>
      <c r="G64">
        <f t="shared" si="0"/>
        <v>0</v>
      </c>
    </row>
    <row r="65" spans="1:7" x14ac:dyDescent="0.25">
      <c r="A65" t="s">
        <v>53</v>
      </c>
      <c r="B65" s="88">
        <v>43829</v>
      </c>
      <c r="C65" s="89">
        <v>45874.81</v>
      </c>
      <c r="D65">
        <v>224.28</v>
      </c>
      <c r="E65">
        <f t="shared" si="1"/>
        <v>3.0200000000000102</v>
      </c>
      <c r="F65" s="88">
        <v>43829</v>
      </c>
      <c r="G65">
        <f t="shared" si="0"/>
        <v>0</v>
      </c>
    </row>
    <row r="66" spans="1:7" x14ac:dyDescent="0.25">
      <c r="A66" s="92" t="s">
        <v>54</v>
      </c>
      <c r="B66" s="90">
        <v>43830</v>
      </c>
      <c r="C66" s="91">
        <v>45874.81</v>
      </c>
      <c r="D66" s="92">
        <v>224.28</v>
      </c>
      <c r="E66" s="92">
        <f t="shared" si="1"/>
        <v>0</v>
      </c>
      <c r="F66" s="88">
        <v>43830</v>
      </c>
      <c r="G66">
        <f t="shared" si="0"/>
        <v>0</v>
      </c>
    </row>
    <row r="67" spans="1:7" x14ac:dyDescent="0.25">
      <c r="A67" s="92" t="s">
        <v>60</v>
      </c>
      <c r="B67" s="90">
        <v>43831</v>
      </c>
      <c r="C67" s="91">
        <v>45874.81</v>
      </c>
      <c r="D67" s="92">
        <v>224.28</v>
      </c>
      <c r="E67" s="92">
        <f t="shared" si="1"/>
        <v>0</v>
      </c>
      <c r="F67" s="88">
        <v>43831</v>
      </c>
      <c r="G67">
        <f t="shared" ref="G67:G130" si="2">B67-F67</f>
        <v>0</v>
      </c>
    </row>
    <row r="68" spans="1:7" x14ac:dyDescent="0.25">
      <c r="A68" t="s">
        <v>61</v>
      </c>
      <c r="B68" s="88">
        <v>43832</v>
      </c>
      <c r="C68" s="89">
        <v>46620.83</v>
      </c>
      <c r="D68">
        <v>227.93</v>
      </c>
      <c r="E68">
        <f t="shared" ref="E68:E131" si="3">D68-D67</f>
        <v>3.6500000000000057</v>
      </c>
      <c r="F68" s="88">
        <v>43832</v>
      </c>
      <c r="G68">
        <f t="shared" si="2"/>
        <v>0</v>
      </c>
    </row>
    <row r="69" spans="1:7" x14ac:dyDescent="0.25">
      <c r="A69" t="s">
        <v>62</v>
      </c>
      <c r="B69" s="88">
        <v>43833</v>
      </c>
      <c r="C69" s="89">
        <v>48709.36</v>
      </c>
      <c r="D69">
        <v>238.14</v>
      </c>
      <c r="E69">
        <f t="shared" si="3"/>
        <v>10.20999999999998</v>
      </c>
      <c r="F69" s="88">
        <v>43833</v>
      </c>
      <c r="G69">
        <f t="shared" si="2"/>
        <v>0</v>
      </c>
    </row>
    <row r="70" spans="1:7" x14ac:dyDescent="0.25">
      <c r="A70" s="92" t="s">
        <v>63</v>
      </c>
      <c r="B70" s="90">
        <v>43834</v>
      </c>
      <c r="C70" s="91">
        <v>48709.36</v>
      </c>
      <c r="D70" s="92">
        <v>238.14</v>
      </c>
      <c r="E70" s="92">
        <f t="shared" si="3"/>
        <v>0</v>
      </c>
      <c r="F70" s="88">
        <v>43834</v>
      </c>
      <c r="G70">
        <f t="shared" si="2"/>
        <v>0</v>
      </c>
    </row>
    <row r="71" spans="1:7" x14ac:dyDescent="0.25">
      <c r="A71" s="92" t="s">
        <v>64</v>
      </c>
      <c r="B71" s="90">
        <v>43835</v>
      </c>
      <c r="C71" s="91">
        <v>48709.36</v>
      </c>
      <c r="D71" s="92">
        <v>238.14</v>
      </c>
      <c r="E71" s="92">
        <f t="shared" si="3"/>
        <v>0</v>
      </c>
      <c r="F71" s="88">
        <v>43835</v>
      </c>
      <c r="G71">
        <f t="shared" si="2"/>
        <v>0</v>
      </c>
    </row>
    <row r="72" spans="1:7" x14ac:dyDescent="0.25">
      <c r="A72" s="92" t="s">
        <v>53</v>
      </c>
      <c r="B72" s="90">
        <v>43836</v>
      </c>
      <c r="C72" s="91">
        <v>48709.36</v>
      </c>
      <c r="D72" s="92">
        <v>238.14</v>
      </c>
      <c r="E72" s="92">
        <f t="shared" si="3"/>
        <v>0</v>
      </c>
      <c r="F72" s="88">
        <v>43836</v>
      </c>
      <c r="G72">
        <f t="shared" si="2"/>
        <v>0</v>
      </c>
    </row>
    <row r="73" spans="1:7" x14ac:dyDescent="0.25">
      <c r="A73" t="s">
        <v>54</v>
      </c>
      <c r="B73" s="88">
        <v>43837</v>
      </c>
      <c r="C73" s="89">
        <v>54441.93</v>
      </c>
      <c r="D73">
        <v>266.16000000000003</v>
      </c>
      <c r="E73">
        <f t="shared" si="3"/>
        <v>28.020000000000039</v>
      </c>
      <c r="F73" s="88">
        <v>43837</v>
      </c>
      <c r="G73">
        <f t="shared" si="2"/>
        <v>0</v>
      </c>
    </row>
    <row r="74" spans="1:7" x14ac:dyDescent="0.25">
      <c r="A74" t="s">
        <v>60</v>
      </c>
      <c r="B74" s="88">
        <v>43838</v>
      </c>
      <c r="C74" s="89">
        <v>56741.09</v>
      </c>
      <c r="D74">
        <v>277.39999999999998</v>
      </c>
      <c r="E74">
        <f t="shared" si="3"/>
        <v>11.239999999999952</v>
      </c>
      <c r="F74" s="88">
        <v>43838</v>
      </c>
      <c r="G74">
        <f t="shared" si="2"/>
        <v>0</v>
      </c>
    </row>
    <row r="75" spans="1:7" x14ac:dyDescent="0.25">
      <c r="A75" t="s">
        <v>61</v>
      </c>
      <c r="B75" s="88">
        <v>43839</v>
      </c>
      <c r="C75" s="89">
        <v>60990.47</v>
      </c>
      <c r="D75">
        <v>298.18</v>
      </c>
      <c r="E75">
        <f t="shared" si="3"/>
        <v>20.78000000000003</v>
      </c>
      <c r="F75" s="88">
        <v>43839</v>
      </c>
      <c r="G75">
        <f t="shared" si="2"/>
        <v>0</v>
      </c>
    </row>
    <row r="76" spans="1:7" x14ac:dyDescent="0.25">
      <c r="A76" t="s">
        <v>62</v>
      </c>
      <c r="B76" s="88">
        <v>43840</v>
      </c>
      <c r="C76" s="89">
        <v>62299.040000000001</v>
      </c>
      <c r="D76">
        <v>304.58</v>
      </c>
      <c r="E76">
        <f t="shared" si="3"/>
        <v>6.3999999999999773</v>
      </c>
      <c r="F76" s="88">
        <v>43840</v>
      </c>
      <c r="G76">
        <f t="shared" si="2"/>
        <v>0</v>
      </c>
    </row>
    <row r="77" spans="1:7" x14ac:dyDescent="0.25">
      <c r="A77" s="92" t="s">
        <v>63</v>
      </c>
      <c r="B77" s="90">
        <v>43841</v>
      </c>
      <c r="C77" s="91">
        <v>62299.040000000001</v>
      </c>
      <c r="D77" s="92">
        <v>304.58</v>
      </c>
      <c r="E77" s="92">
        <f t="shared" si="3"/>
        <v>0</v>
      </c>
      <c r="F77" s="88">
        <v>43841</v>
      </c>
      <c r="G77">
        <f t="shared" si="2"/>
        <v>0</v>
      </c>
    </row>
    <row r="78" spans="1:7" x14ac:dyDescent="0.25">
      <c r="A78" s="92" t="s">
        <v>64</v>
      </c>
      <c r="B78" s="90">
        <v>43842</v>
      </c>
      <c r="C78" s="91">
        <v>62299.040000000001</v>
      </c>
      <c r="D78" s="92">
        <v>304.58</v>
      </c>
      <c r="E78" s="92">
        <f t="shared" si="3"/>
        <v>0</v>
      </c>
      <c r="F78" s="88">
        <v>43842</v>
      </c>
      <c r="G78">
        <f t="shared" si="2"/>
        <v>0</v>
      </c>
    </row>
    <row r="79" spans="1:7" x14ac:dyDescent="0.25">
      <c r="A79" t="s">
        <v>53</v>
      </c>
      <c r="B79" s="88">
        <v>43843</v>
      </c>
      <c r="C79" s="89">
        <v>67213.990000000005</v>
      </c>
      <c r="D79">
        <v>328.61</v>
      </c>
      <c r="E79">
        <f t="shared" si="3"/>
        <v>24.03000000000003</v>
      </c>
      <c r="F79" s="88">
        <v>43843</v>
      </c>
      <c r="G79">
        <f t="shared" si="2"/>
        <v>0</v>
      </c>
    </row>
    <row r="80" spans="1:7" x14ac:dyDescent="0.25">
      <c r="A80" t="s">
        <v>54</v>
      </c>
      <c r="B80" s="88">
        <v>43844</v>
      </c>
      <c r="C80" s="89">
        <v>67814.75</v>
      </c>
      <c r="D80">
        <v>331.54</v>
      </c>
      <c r="E80">
        <f t="shared" si="3"/>
        <v>2.9300000000000068</v>
      </c>
      <c r="F80" s="88">
        <v>43844</v>
      </c>
      <c r="G80">
        <f t="shared" si="2"/>
        <v>0</v>
      </c>
    </row>
    <row r="81" spans="1:7" x14ac:dyDescent="0.25">
      <c r="A81" t="s">
        <v>60</v>
      </c>
      <c r="B81" s="88">
        <v>43845</v>
      </c>
      <c r="C81" s="89">
        <v>70675.740000000005</v>
      </c>
      <c r="D81">
        <v>345.53</v>
      </c>
      <c r="E81">
        <f t="shared" si="3"/>
        <v>13.989999999999952</v>
      </c>
      <c r="F81" s="88">
        <v>43845</v>
      </c>
      <c r="G81">
        <f t="shared" si="2"/>
        <v>0</v>
      </c>
    </row>
    <row r="82" spans="1:7" x14ac:dyDescent="0.25">
      <c r="A82" t="s">
        <v>61</v>
      </c>
      <c r="B82" s="88">
        <v>43846</v>
      </c>
      <c r="C82" s="89">
        <v>71208.240000000005</v>
      </c>
      <c r="D82">
        <v>348.13</v>
      </c>
      <c r="E82">
        <f t="shared" si="3"/>
        <v>2.6000000000000227</v>
      </c>
      <c r="F82" s="88">
        <v>43846</v>
      </c>
      <c r="G82">
        <f t="shared" si="2"/>
        <v>0</v>
      </c>
    </row>
    <row r="83" spans="1:7" x14ac:dyDescent="0.25">
      <c r="A83" t="s">
        <v>62</v>
      </c>
      <c r="B83" s="88">
        <v>43847</v>
      </c>
      <c r="C83" s="89">
        <v>72228.34</v>
      </c>
      <c r="D83">
        <v>353.12</v>
      </c>
      <c r="E83">
        <f t="shared" si="3"/>
        <v>4.9900000000000091</v>
      </c>
      <c r="F83" s="88">
        <v>43847</v>
      </c>
      <c r="G83">
        <f t="shared" si="2"/>
        <v>0</v>
      </c>
    </row>
    <row r="84" spans="1:7" x14ac:dyDescent="0.25">
      <c r="A84" s="92" t="s">
        <v>63</v>
      </c>
      <c r="B84" s="90">
        <v>43848</v>
      </c>
      <c r="C84" s="91">
        <v>72228.34</v>
      </c>
      <c r="D84" s="92">
        <v>353.12</v>
      </c>
      <c r="E84" s="92">
        <f t="shared" si="3"/>
        <v>0</v>
      </c>
      <c r="F84" s="88">
        <v>43848</v>
      </c>
      <c r="G84">
        <f t="shared" si="2"/>
        <v>0</v>
      </c>
    </row>
    <row r="85" spans="1:7" x14ac:dyDescent="0.25">
      <c r="A85" s="92" t="s">
        <v>64</v>
      </c>
      <c r="B85" s="90">
        <v>43849</v>
      </c>
      <c r="C85" s="91">
        <v>72228.34</v>
      </c>
      <c r="D85" s="92">
        <v>353.12</v>
      </c>
      <c r="E85" s="92">
        <f t="shared" si="3"/>
        <v>0</v>
      </c>
      <c r="F85" s="88">
        <v>43849</v>
      </c>
      <c r="G85">
        <f t="shared" si="2"/>
        <v>0</v>
      </c>
    </row>
    <row r="86" spans="1:7" x14ac:dyDescent="0.25">
      <c r="A86" s="92" t="s">
        <v>53</v>
      </c>
      <c r="B86" s="90">
        <v>43850</v>
      </c>
      <c r="C86" s="91">
        <v>72228.34</v>
      </c>
      <c r="D86" s="92">
        <v>353.12</v>
      </c>
      <c r="E86" s="92">
        <f t="shared" si="3"/>
        <v>0</v>
      </c>
      <c r="F86" s="88">
        <v>43850</v>
      </c>
      <c r="G86">
        <f t="shared" si="2"/>
        <v>0</v>
      </c>
    </row>
    <row r="87" spans="1:7" x14ac:dyDescent="0.25">
      <c r="A87" t="s">
        <v>54</v>
      </c>
      <c r="B87" s="88">
        <v>43851</v>
      </c>
      <c r="C87" s="89">
        <v>74139.47</v>
      </c>
      <c r="D87">
        <v>362.46</v>
      </c>
      <c r="E87">
        <f t="shared" si="3"/>
        <v>9.339999999999975</v>
      </c>
      <c r="F87" s="88">
        <v>43851</v>
      </c>
      <c r="G87">
        <f t="shared" si="2"/>
        <v>0</v>
      </c>
    </row>
    <row r="88" spans="1:7" x14ac:dyDescent="0.25">
      <c r="A88" t="s">
        <v>60</v>
      </c>
      <c r="B88" s="88">
        <v>43852</v>
      </c>
      <c r="C88" s="89">
        <v>73430.48</v>
      </c>
      <c r="D88">
        <v>359</v>
      </c>
      <c r="E88">
        <f t="shared" si="3"/>
        <v>-3.4599999999999795</v>
      </c>
      <c r="F88" s="88">
        <v>43852</v>
      </c>
      <c r="G88">
        <f t="shared" si="2"/>
        <v>0</v>
      </c>
    </row>
    <row r="89" spans="1:7" x14ac:dyDescent="0.25">
      <c r="A89" t="s">
        <v>61</v>
      </c>
      <c r="B89" s="88">
        <v>43853</v>
      </c>
      <c r="C89" s="89">
        <v>73701.08</v>
      </c>
      <c r="D89">
        <v>360.32</v>
      </c>
      <c r="E89">
        <f t="shared" si="3"/>
        <v>1.3199999999999932</v>
      </c>
      <c r="F89" s="88">
        <v>43853</v>
      </c>
      <c r="G89">
        <f t="shared" si="2"/>
        <v>0</v>
      </c>
    </row>
    <row r="90" spans="1:7" x14ac:dyDescent="0.25">
      <c r="A90" t="s">
        <v>62</v>
      </c>
      <c r="B90" s="88">
        <v>43854</v>
      </c>
      <c r="C90" s="89">
        <v>74243.600000000006</v>
      </c>
      <c r="D90">
        <v>362.97</v>
      </c>
      <c r="E90">
        <f t="shared" si="3"/>
        <v>2.6500000000000341</v>
      </c>
      <c r="F90" s="88">
        <v>43854</v>
      </c>
      <c r="G90">
        <f t="shared" si="2"/>
        <v>0</v>
      </c>
    </row>
    <row r="91" spans="1:7" x14ac:dyDescent="0.25">
      <c r="A91" s="92" t="s">
        <v>63</v>
      </c>
      <c r="B91" s="90">
        <v>43855</v>
      </c>
      <c r="C91" s="91">
        <v>74243.600000000006</v>
      </c>
      <c r="D91" s="92">
        <v>362.97</v>
      </c>
      <c r="E91" s="92">
        <f t="shared" si="3"/>
        <v>0</v>
      </c>
      <c r="F91" s="88">
        <v>43855</v>
      </c>
      <c r="G91">
        <f t="shared" si="2"/>
        <v>0</v>
      </c>
    </row>
    <row r="92" spans="1:7" x14ac:dyDescent="0.25">
      <c r="A92" s="92" t="s">
        <v>64</v>
      </c>
      <c r="B92" s="90">
        <v>43856</v>
      </c>
      <c r="C92" s="91">
        <v>74243.600000000006</v>
      </c>
      <c r="D92" s="92">
        <v>362.97</v>
      </c>
      <c r="E92" s="92">
        <f t="shared" si="3"/>
        <v>0</v>
      </c>
      <c r="F92" s="88">
        <v>43856</v>
      </c>
      <c r="G92">
        <f t="shared" si="2"/>
        <v>0</v>
      </c>
    </row>
    <row r="93" spans="1:7" x14ac:dyDescent="0.25">
      <c r="A93" t="s">
        <v>53</v>
      </c>
      <c r="B93" s="88">
        <v>43857</v>
      </c>
      <c r="C93" s="89">
        <v>74673.81</v>
      </c>
      <c r="D93">
        <v>365.08</v>
      </c>
      <c r="E93">
        <f t="shared" si="3"/>
        <v>2.1099999999999568</v>
      </c>
      <c r="F93" s="88">
        <v>43857</v>
      </c>
      <c r="G93">
        <f t="shared" si="2"/>
        <v>0</v>
      </c>
    </row>
    <row r="94" spans="1:7" x14ac:dyDescent="0.25">
      <c r="A94" t="s">
        <v>54</v>
      </c>
      <c r="B94" s="88">
        <v>43858</v>
      </c>
      <c r="C94" s="89">
        <v>74444.160000000003</v>
      </c>
      <c r="D94">
        <v>363.95</v>
      </c>
      <c r="E94">
        <f t="shared" si="3"/>
        <v>-1.1299999999999955</v>
      </c>
      <c r="F94" s="88">
        <v>43858</v>
      </c>
      <c r="G94">
        <f t="shared" si="2"/>
        <v>0</v>
      </c>
    </row>
    <row r="95" spans="1:7" x14ac:dyDescent="0.25">
      <c r="A95" t="s">
        <v>55</v>
      </c>
      <c r="B95" s="88">
        <v>43859</v>
      </c>
      <c r="C95" s="89">
        <v>74727.19</v>
      </c>
      <c r="D95">
        <v>365.34</v>
      </c>
      <c r="E95">
        <f t="shared" si="3"/>
        <v>1.3899999999999864</v>
      </c>
      <c r="F95" s="88">
        <v>43859</v>
      </c>
      <c r="G95">
        <f t="shared" si="2"/>
        <v>0</v>
      </c>
    </row>
    <row r="96" spans="1:7" x14ac:dyDescent="0.25">
      <c r="A96" t="s">
        <v>61</v>
      </c>
      <c r="B96" s="88">
        <v>43860</v>
      </c>
      <c r="C96" s="89">
        <v>74903.990000000005</v>
      </c>
      <c r="D96">
        <v>366.2</v>
      </c>
      <c r="E96">
        <f t="shared" si="3"/>
        <v>0.86000000000001364</v>
      </c>
      <c r="F96" s="88">
        <v>43860</v>
      </c>
      <c r="G96">
        <f t="shared" si="2"/>
        <v>0</v>
      </c>
    </row>
    <row r="97" spans="1:7" x14ac:dyDescent="0.25">
      <c r="A97" t="s">
        <v>62</v>
      </c>
      <c r="B97" s="88">
        <v>43861</v>
      </c>
      <c r="C97" s="89">
        <v>74989.87</v>
      </c>
      <c r="D97">
        <v>366.62</v>
      </c>
      <c r="E97">
        <f t="shared" si="3"/>
        <v>0.42000000000001592</v>
      </c>
      <c r="F97" s="88">
        <v>43861</v>
      </c>
      <c r="G97">
        <f t="shared" si="2"/>
        <v>0</v>
      </c>
    </row>
    <row r="98" spans="1:7" x14ac:dyDescent="0.25">
      <c r="A98" s="92" t="s">
        <v>63</v>
      </c>
      <c r="B98" s="90">
        <v>43862</v>
      </c>
      <c r="C98" s="91">
        <v>74989.87</v>
      </c>
      <c r="D98" s="92">
        <v>366.62</v>
      </c>
      <c r="E98" s="92">
        <f t="shared" si="3"/>
        <v>0</v>
      </c>
      <c r="F98" s="88">
        <v>43862</v>
      </c>
      <c r="G98">
        <f t="shared" si="2"/>
        <v>0</v>
      </c>
    </row>
    <row r="99" spans="1:7" x14ac:dyDescent="0.25">
      <c r="A99" s="92" t="s">
        <v>64</v>
      </c>
      <c r="B99" s="90">
        <v>43863</v>
      </c>
      <c r="C99" s="91">
        <v>74989.87</v>
      </c>
      <c r="D99" s="92">
        <v>366.62</v>
      </c>
      <c r="E99" s="92">
        <f t="shared" si="3"/>
        <v>0</v>
      </c>
      <c r="F99" s="88">
        <v>43863</v>
      </c>
      <c r="G99">
        <f t="shared" si="2"/>
        <v>0</v>
      </c>
    </row>
    <row r="100" spans="1:7" x14ac:dyDescent="0.25">
      <c r="A100" t="s">
        <v>53</v>
      </c>
      <c r="B100" s="88">
        <v>43864</v>
      </c>
      <c r="C100" s="89">
        <v>74026.61</v>
      </c>
      <c r="D100">
        <v>361.91</v>
      </c>
      <c r="E100">
        <f t="shared" si="3"/>
        <v>-4.7099999999999795</v>
      </c>
      <c r="F100" s="88">
        <v>43864</v>
      </c>
      <c r="G100">
        <f t="shared" si="2"/>
        <v>0</v>
      </c>
    </row>
    <row r="101" spans="1:7" x14ac:dyDescent="0.25">
      <c r="A101" t="s">
        <v>54</v>
      </c>
      <c r="B101" s="88">
        <v>43865</v>
      </c>
      <c r="C101" s="89">
        <v>72941.83</v>
      </c>
      <c r="D101">
        <v>356.61</v>
      </c>
      <c r="E101">
        <f t="shared" si="3"/>
        <v>-5.3000000000000114</v>
      </c>
      <c r="F101" s="88">
        <v>43865</v>
      </c>
      <c r="G101">
        <f t="shared" si="2"/>
        <v>0</v>
      </c>
    </row>
    <row r="102" spans="1:7" x14ac:dyDescent="0.25">
      <c r="A102" t="s">
        <v>60</v>
      </c>
      <c r="B102" s="88">
        <v>43866</v>
      </c>
      <c r="C102" s="89">
        <v>73341.19</v>
      </c>
      <c r="D102">
        <v>358.56</v>
      </c>
      <c r="E102">
        <f t="shared" si="3"/>
        <v>1.9499999999999886</v>
      </c>
      <c r="F102" s="88">
        <v>43866</v>
      </c>
      <c r="G102">
        <f t="shared" si="2"/>
        <v>0</v>
      </c>
    </row>
    <row r="103" spans="1:7" x14ac:dyDescent="0.25">
      <c r="A103" t="s">
        <v>61</v>
      </c>
      <c r="B103" s="88">
        <v>43867</v>
      </c>
      <c r="C103" s="89">
        <v>73607.360000000001</v>
      </c>
      <c r="D103">
        <v>359.86</v>
      </c>
      <c r="E103">
        <f t="shared" si="3"/>
        <v>1.3000000000000114</v>
      </c>
      <c r="F103" s="88">
        <v>43867</v>
      </c>
      <c r="G103">
        <f t="shared" si="2"/>
        <v>0</v>
      </c>
    </row>
    <row r="104" spans="1:7" x14ac:dyDescent="0.25">
      <c r="A104" t="s">
        <v>62</v>
      </c>
      <c r="B104" s="88">
        <v>43868</v>
      </c>
      <c r="C104" s="89">
        <v>73612.479999999996</v>
      </c>
      <c r="D104">
        <v>359.89</v>
      </c>
      <c r="E104">
        <f t="shared" si="3"/>
        <v>2.9999999999972715E-2</v>
      </c>
      <c r="F104" s="88">
        <v>43868</v>
      </c>
      <c r="G104">
        <f t="shared" si="2"/>
        <v>0</v>
      </c>
    </row>
    <row r="105" spans="1:7" x14ac:dyDescent="0.25">
      <c r="A105" s="92" t="s">
        <v>63</v>
      </c>
      <c r="B105" s="90">
        <v>43869</v>
      </c>
      <c r="C105" s="91">
        <v>73612.479999999996</v>
      </c>
      <c r="D105" s="92">
        <v>359.89</v>
      </c>
      <c r="E105" s="92">
        <f t="shared" si="3"/>
        <v>0</v>
      </c>
      <c r="F105" s="88">
        <v>43869</v>
      </c>
      <c r="G105">
        <f t="shared" si="2"/>
        <v>0</v>
      </c>
    </row>
    <row r="106" spans="1:7" x14ac:dyDescent="0.25">
      <c r="A106" s="92" t="s">
        <v>64</v>
      </c>
      <c r="B106" s="90">
        <v>43870</v>
      </c>
      <c r="C106" s="91">
        <v>73612.479999999996</v>
      </c>
      <c r="D106" s="92">
        <v>359.89</v>
      </c>
      <c r="E106" s="92">
        <f t="shared" si="3"/>
        <v>0</v>
      </c>
      <c r="F106" s="88">
        <v>43870</v>
      </c>
      <c r="G106">
        <f t="shared" si="2"/>
        <v>0</v>
      </c>
    </row>
    <row r="107" spans="1:7" x14ac:dyDescent="0.25">
      <c r="A107" t="s">
        <v>53</v>
      </c>
      <c r="B107" s="88">
        <v>43871</v>
      </c>
      <c r="C107" s="89">
        <v>73430.55</v>
      </c>
      <c r="D107">
        <v>359</v>
      </c>
      <c r="E107">
        <f t="shared" si="3"/>
        <v>-0.88999999999998636</v>
      </c>
      <c r="F107" s="88">
        <v>43871</v>
      </c>
      <c r="G107">
        <f t="shared" si="2"/>
        <v>0</v>
      </c>
    </row>
    <row r="108" spans="1:7" x14ac:dyDescent="0.25">
      <c r="A108" t="s">
        <v>54</v>
      </c>
      <c r="B108" s="88">
        <v>43872</v>
      </c>
      <c r="C108" s="89">
        <v>73048.490000000005</v>
      </c>
      <c r="D108">
        <v>357.13</v>
      </c>
      <c r="E108">
        <f t="shared" si="3"/>
        <v>-1.8700000000000045</v>
      </c>
      <c r="F108" s="88">
        <v>43872</v>
      </c>
      <c r="G108">
        <f t="shared" si="2"/>
        <v>0</v>
      </c>
    </row>
    <row r="109" spans="1:7" x14ac:dyDescent="0.25">
      <c r="A109" t="s">
        <v>60</v>
      </c>
      <c r="B109" s="88">
        <v>43873</v>
      </c>
      <c r="C109" s="89">
        <v>73172.5</v>
      </c>
      <c r="D109">
        <v>357.74</v>
      </c>
      <c r="E109">
        <f t="shared" si="3"/>
        <v>0.61000000000001364</v>
      </c>
      <c r="F109" s="88">
        <v>43873</v>
      </c>
      <c r="G109">
        <f t="shared" si="2"/>
        <v>0</v>
      </c>
    </row>
    <row r="110" spans="1:7" x14ac:dyDescent="0.25">
      <c r="A110" t="s">
        <v>61</v>
      </c>
      <c r="B110" s="88">
        <v>43874</v>
      </c>
      <c r="C110" s="89">
        <v>73486.98</v>
      </c>
      <c r="D110">
        <v>359.27</v>
      </c>
      <c r="E110">
        <f t="shared" si="3"/>
        <v>1.5299999999999727</v>
      </c>
      <c r="F110" s="88">
        <v>43874</v>
      </c>
      <c r="G110">
        <f t="shared" si="2"/>
        <v>0</v>
      </c>
    </row>
    <row r="111" spans="1:7" x14ac:dyDescent="0.25">
      <c r="A111" t="s">
        <v>62</v>
      </c>
      <c r="B111" s="88">
        <v>43875</v>
      </c>
      <c r="C111" s="89">
        <v>73582.94</v>
      </c>
      <c r="D111">
        <v>359.74</v>
      </c>
      <c r="E111">
        <f t="shared" si="3"/>
        <v>0.47000000000002728</v>
      </c>
      <c r="F111" s="88">
        <v>43875</v>
      </c>
      <c r="G111">
        <f t="shared" si="2"/>
        <v>0</v>
      </c>
    </row>
    <row r="112" spans="1:7" x14ac:dyDescent="0.25">
      <c r="A112" s="92" t="s">
        <v>63</v>
      </c>
      <c r="B112" s="90">
        <v>43876</v>
      </c>
      <c r="C112" s="91">
        <v>73582.94</v>
      </c>
      <c r="D112" s="92">
        <v>359.74</v>
      </c>
      <c r="E112" s="92">
        <f t="shared" si="3"/>
        <v>0</v>
      </c>
      <c r="F112" s="88">
        <v>43876</v>
      </c>
      <c r="G112">
        <f t="shared" si="2"/>
        <v>0</v>
      </c>
    </row>
    <row r="113" spans="1:7" x14ac:dyDescent="0.25">
      <c r="A113" s="92" t="s">
        <v>64</v>
      </c>
      <c r="B113" s="90">
        <v>43877</v>
      </c>
      <c r="C113" s="91">
        <v>73582.94</v>
      </c>
      <c r="D113" s="92">
        <v>359.74</v>
      </c>
      <c r="E113" s="92">
        <f t="shared" si="3"/>
        <v>0</v>
      </c>
      <c r="F113" s="88">
        <v>43877</v>
      </c>
      <c r="G113">
        <f t="shared" si="2"/>
        <v>0</v>
      </c>
    </row>
    <row r="114" spans="1:7" x14ac:dyDescent="0.25">
      <c r="A114" t="s">
        <v>53</v>
      </c>
      <c r="B114" s="88">
        <v>43878</v>
      </c>
      <c r="C114" s="89">
        <v>73393.289999999994</v>
      </c>
      <c r="D114">
        <v>358.82</v>
      </c>
      <c r="E114">
        <f t="shared" si="3"/>
        <v>-0.92000000000001592</v>
      </c>
      <c r="F114" s="88">
        <v>43878</v>
      </c>
      <c r="G114">
        <f t="shared" si="2"/>
        <v>0</v>
      </c>
    </row>
    <row r="115" spans="1:7" x14ac:dyDescent="0.25">
      <c r="A115" t="s">
        <v>54</v>
      </c>
      <c r="B115" s="88">
        <v>43879</v>
      </c>
      <c r="C115" s="89">
        <v>73470.98</v>
      </c>
      <c r="D115">
        <v>359.2</v>
      </c>
      <c r="E115">
        <f t="shared" si="3"/>
        <v>0.37999999999999545</v>
      </c>
      <c r="F115" s="88">
        <v>43879</v>
      </c>
      <c r="G115">
        <f t="shared" si="2"/>
        <v>0</v>
      </c>
    </row>
    <row r="116" spans="1:7" x14ac:dyDescent="0.25">
      <c r="A116" t="s">
        <v>60</v>
      </c>
      <c r="B116" s="88">
        <v>43880</v>
      </c>
      <c r="C116" s="89">
        <v>73772.33</v>
      </c>
      <c r="D116">
        <v>360.67</v>
      </c>
      <c r="E116">
        <f t="shared" si="3"/>
        <v>1.4700000000000273</v>
      </c>
      <c r="F116" s="88">
        <v>43880</v>
      </c>
      <c r="G116">
        <f t="shared" si="2"/>
        <v>0</v>
      </c>
    </row>
    <row r="117" spans="1:7" x14ac:dyDescent="0.25">
      <c r="A117" t="s">
        <v>61</v>
      </c>
      <c r="B117" s="88">
        <v>43881</v>
      </c>
      <c r="C117" s="89">
        <v>73759.839999999997</v>
      </c>
      <c r="D117">
        <v>360.61</v>
      </c>
      <c r="E117">
        <f t="shared" si="3"/>
        <v>-6.0000000000002274E-2</v>
      </c>
      <c r="F117" s="88">
        <v>43881</v>
      </c>
      <c r="G117">
        <f t="shared" si="2"/>
        <v>0</v>
      </c>
    </row>
    <row r="118" spans="1:7" x14ac:dyDescent="0.25">
      <c r="A118" t="s">
        <v>62</v>
      </c>
      <c r="B118" s="88">
        <v>43882</v>
      </c>
      <c r="C118" s="89">
        <v>73787.06</v>
      </c>
      <c r="D118">
        <v>360.74</v>
      </c>
      <c r="E118">
        <f t="shared" si="3"/>
        <v>0.12999999999999545</v>
      </c>
      <c r="F118" s="88">
        <v>43882</v>
      </c>
      <c r="G118">
        <f t="shared" si="2"/>
        <v>0</v>
      </c>
    </row>
    <row r="119" spans="1:7" x14ac:dyDescent="0.25">
      <c r="A119" s="92" t="s">
        <v>63</v>
      </c>
      <c r="B119" s="90">
        <v>43883</v>
      </c>
      <c r="C119" s="91">
        <v>73787.06</v>
      </c>
      <c r="D119" s="92">
        <v>360.74</v>
      </c>
      <c r="E119" s="92">
        <f t="shared" si="3"/>
        <v>0</v>
      </c>
      <c r="F119" s="88">
        <v>43883</v>
      </c>
      <c r="G119">
        <f t="shared" si="2"/>
        <v>0</v>
      </c>
    </row>
    <row r="120" spans="1:7" x14ac:dyDescent="0.25">
      <c r="A120" s="92" t="s">
        <v>64</v>
      </c>
      <c r="B120" s="90">
        <v>43884</v>
      </c>
      <c r="C120" s="91">
        <v>73787.06</v>
      </c>
      <c r="D120" s="92">
        <v>360.74</v>
      </c>
      <c r="E120" s="92">
        <f t="shared" si="3"/>
        <v>0</v>
      </c>
      <c r="F120" s="88">
        <v>43884</v>
      </c>
      <c r="G120">
        <f t="shared" si="2"/>
        <v>0</v>
      </c>
    </row>
    <row r="121" spans="1:7" x14ac:dyDescent="0.25">
      <c r="A121" s="92" t="s">
        <v>53</v>
      </c>
      <c r="B121" s="90">
        <v>43885</v>
      </c>
      <c r="C121" s="91">
        <v>73787.06</v>
      </c>
      <c r="D121" s="92">
        <v>360.74</v>
      </c>
      <c r="E121" s="92">
        <f t="shared" si="3"/>
        <v>0</v>
      </c>
      <c r="F121" s="88">
        <v>43885</v>
      </c>
      <c r="G121">
        <f t="shared" si="2"/>
        <v>0</v>
      </c>
    </row>
    <row r="122" spans="1:7" x14ac:dyDescent="0.25">
      <c r="A122" s="92" t="s">
        <v>54</v>
      </c>
      <c r="B122" s="90">
        <v>43886</v>
      </c>
      <c r="C122" s="91">
        <v>73787.06</v>
      </c>
      <c r="D122" s="92">
        <v>360.74</v>
      </c>
      <c r="E122" s="92">
        <f t="shared" si="3"/>
        <v>0</v>
      </c>
      <c r="F122" s="88">
        <v>43886</v>
      </c>
      <c r="G122">
        <f t="shared" si="2"/>
        <v>0</v>
      </c>
    </row>
    <row r="123" spans="1:7" x14ac:dyDescent="0.25">
      <c r="A123" t="s">
        <v>60</v>
      </c>
      <c r="B123" s="88">
        <v>43887</v>
      </c>
      <c r="C123" s="89">
        <v>73351.03</v>
      </c>
      <c r="D123">
        <v>358.61</v>
      </c>
      <c r="E123">
        <f t="shared" si="3"/>
        <v>-2.1299999999999955</v>
      </c>
      <c r="F123" s="88">
        <v>43887</v>
      </c>
      <c r="G123">
        <f t="shared" si="2"/>
        <v>0</v>
      </c>
    </row>
    <row r="124" spans="1:7" x14ac:dyDescent="0.25">
      <c r="A124" t="s">
        <v>61</v>
      </c>
      <c r="B124" s="88">
        <v>43888</v>
      </c>
      <c r="C124" s="89">
        <v>73603.12</v>
      </c>
      <c r="D124">
        <v>359.84</v>
      </c>
      <c r="E124">
        <f t="shared" si="3"/>
        <v>1.2299999999999613</v>
      </c>
      <c r="F124" s="88">
        <v>43888</v>
      </c>
      <c r="G124">
        <f t="shared" si="2"/>
        <v>0</v>
      </c>
    </row>
    <row r="125" spans="1:7" x14ac:dyDescent="0.25">
      <c r="A125" t="s">
        <v>62</v>
      </c>
      <c r="B125" s="88">
        <v>43889</v>
      </c>
      <c r="C125" s="89">
        <v>73652.17</v>
      </c>
      <c r="D125">
        <v>360.08</v>
      </c>
      <c r="E125">
        <f t="shared" si="3"/>
        <v>0.24000000000000909</v>
      </c>
      <c r="F125" s="88">
        <v>43889</v>
      </c>
      <c r="G125">
        <f t="shared" si="2"/>
        <v>0</v>
      </c>
    </row>
    <row r="126" spans="1:7" x14ac:dyDescent="0.25">
      <c r="A126" s="92" t="s">
        <v>63</v>
      </c>
      <c r="B126" s="90">
        <v>43890</v>
      </c>
      <c r="C126" s="91">
        <v>73652.17</v>
      </c>
      <c r="D126" s="92">
        <v>360.08</v>
      </c>
      <c r="E126" s="92">
        <f t="shared" si="3"/>
        <v>0</v>
      </c>
      <c r="F126" s="88">
        <v>43890</v>
      </c>
      <c r="G126">
        <f t="shared" si="2"/>
        <v>0</v>
      </c>
    </row>
    <row r="127" spans="1:7" x14ac:dyDescent="0.25">
      <c r="A127" s="92" t="s">
        <v>64</v>
      </c>
      <c r="B127" s="90">
        <v>43891</v>
      </c>
      <c r="C127" s="91">
        <v>73652.17</v>
      </c>
      <c r="D127" s="92">
        <v>360.08</v>
      </c>
      <c r="E127" s="92">
        <f t="shared" si="3"/>
        <v>0</v>
      </c>
      <c r="F127" s="88">
        <v>43891</v>
      </c>
      <c r="G127">
        <f t="shared" si="2"/>
        <v>0</v>
      </c>
    </row>
    <row r="128" spans="1:7" x14ac:dyDescent="0.25">
      <c r="A128" t="s">
        <v>53</v>
      </c>
      <c r="B128" s="88">
        <v>43892</v>
      </c>
      <c r="C128" s="89">
        <v>74092.570000000007</v>
      </c>
      <c r="D128">
        <v>362.23</v>
      </c>
      <c r="E128">
        <f t="shared" si="3"/>
        <v>2.1500000000000341</v>
      </c>
      <c r="F128" s="88">
        <v>43892</v>
      </c>
      <c r="G128">
        <f t="shared" si="2"/>
        <v>0</v>
      </c>
    </row>
    <row r="129" spans="1:7" x14ac:dyDescent="0.25">
      <c r="A129" t="s">
        <v>54</v>
      </c>
      <c r="B129" s="88">
        <v>43893</v>
      </c>
      <c r="C129" s="89">
        <v>73987.45</v>
      </c>
      <c r="D129">
        <v>361.72</v>
      </c>
      <c r="E129">
        <f t="shared" si="3"/>
        <v>-0.50999999999999091</v>
      </c>
      <c r="F129" s="88">
        <v>43893</v>
      </c>
      <c r="G129">
        <f t="shared" si="2"/>
        <v>0</v>
      </c>
    </row>
    <row r="130" spans="1:7" x14ac:dyDescent="0.25">
      <c r="A130" t="s">
        <v>60</v>
      </c>
      <c r="B130" s="88">
        <v>43894</v>
      </c>
      <c r="C130" s="89">
        <v>73829.03</v>
      </c>
      <c r="D130">
        <v>360.95</v>
      </c>
      <c r="E130">
        <f t="shared" si="3"/>
        <v>-0.77000000000003865</v>
      </c>
      <c r="F130" s="88">
        <v>43894</v>
      </c>
      <c r="G130">
        <f t="shared" si="2"/>
        <v>0</v>
      </c>
    </row>
    <row r="131" spans="1:7" x14ac:dyDescent="0.25">
      <c r="A131" t="s">
        <v>61</v>
      </c>
      <c r="B131" s="88">
        <v>43895</v>
      </c>
      <c r="C131" s="89">
        <v>73653.279999999999</v>
      </c>
      <c r="D131">
        <v>360.09</v>
      </c>
      <c r="E131">
        <f t="shared" si="3"/>
        <v>-0.86000000000001364</v>
      </c>
      <c r="F131" s="88">
        <v>43895</v>
      </c>
      <c r="G131">
        <f t="shared" ref="G131:G144" si="4">B131-F131</f>
        <v>0</v>
      </c>
    </row>
    <row r="132" spans="1:7" x14ac:dyDescent="0.25">
      <c r="A132" t="s">
        <v>62</v>
      </c>
      <c r="B132" s="88">
        <v>43896</v>
      </c>
      <c r="C132" s="89">
        <v>73193.31</v>
      </c>
      <c r="D132">
        <v>357.84</v>
      </c>
      <c r="E132">
        <f t="shared" ref="E132:E139" si="5">D132-D131</f>
        <v>-2.25</v>
      </c>
      <c r="F132" s="88">
        <v>43896</v>
      </c>
      <c r="G132">
        <f t="shared" si="4"/>
        <v>0</v>
      </c>
    </row>
    <row r="133" spans="1:7" x14ac:dyDescent="0.25">
      <c r="A133" s="92" t="s">
        <v>63</v>
      </c>
      <c r="B133" s="90">
        <v>43897</v>
      </c>
      <c r="C133" s="91">
        <v>73193.31</v>
      </c>
      <c r="D133" s="92">
        <v>357.84</v>
      </c>
      <c r="E133" s="92">
        <f t="shared" si="5"/>
        <v>0</v>
      </c>
      <c r="F133" s="88">
        <v>43897</v>
      </c>
      <c r="G133">
        <f t="shared" si="4"/>
        <v>0</v>
      </c>
    </row>
    <row r="134" spans="1:7" x14ac:dyDescent="0.25">
      <c r="A134" s="92" t="s">
        <v>64</v>
      </c>
      <c r="B134" s="90">
        <v>43898</v>
      </c>
      <c r="C134" s="91">
        <v>73193.31</v>
      </c>
      <c r="D134" s="92">
        <v>357.84</v>
      </c>
      <c r="E134" s="92">
        <f t="shared" si="5"/>
        <v>0</v>
      </c>
      <c r="F134" s="88">
        <v>43898</v>
      </c>
      <c r="G134">
        <f t="shared" si="4"/>
        <v>0</v>
      </c>
    </row>
    <row r="135" spans="1:7" x14ac:dyDescent="0.25">
      <c r="A135" t="s">
        <v>53</v>
      </c>
      <c r="B135" s="88">
        <v>43899</v>
      </c>
      <c r="C135" s="89">
        <v>73224.149999999994</v>
      </c>
      <c r="D135">
        <v>357.99</v>
      </c>
      <c r="E135">
        <f t="shared" si="5"/>
        <v>0.15000000000003411</v>
      </c>
      <c r="F135" s="88">
        <v>43899</v>
      </c>
      <c r="G135">
        <f t="shared" si="4"/>
        <v>0</v>
      </c>
    </row>
    <row r="136" spans="1:7" x14ac:dyDescent="0.25">
      <c r="A136" t="s">
        <v>54</v>
      </c>
      <c r="B136" s="88">
        <v>43900</v>
      </c>
      <c r="C136" s="89">
        <v>73255.759999999995</v>
      </c>
      <c r="D136">
        <v>358.14</v>
      </c>
      <c r="E136">
        <f t="shared" si="5"/>
        <v>0.14999999999997726</v>
      </c>
      <c r="F136" s="88">
        <v>43900</v>
      </c>
      <c r="G136">
        <f t="shared" si="4"/>
        <v>0</v>
      </c>
    </row>
    <row r="137" spans="1:7" x14ac:dyDescent="0.25">
      <c r="A137" t="s">
        <v>60</v>
      </c>
      <c r="B137" s="88">
        <v>43901</v>
      </c>
      <c r="C137" s="89">
        <v>73334.83</v>
      </c>
      <c r="D137">
        <v>358.53</v>
      </c>
      <c r="E137">
        <f t="shared" si="5"/>
        <v>0.38999999999998636</v>
      </c>
      <c r="F137" s="88">
        <v>43901</v>
      </c>
      <c r="G137">
        <f t="shared" si="4"/>
        <v>0</v>
      </c>
    </row>
    <row r="138" spans="1:7" x14ac:dyDescent="0.25">
      <c r="A138" t="s">
        <v>61</v>
      </c>
      <c r="B138" s="88">
        <v>43902</v>
      </c>
      <c r="C138" s="89">
        <v>73649.56</v>
      </c>
      <c r="D138">
        <v>360.07</v>
      </c>
      <c r="E138">
        <f t="shared" si="5"/>
        <v>1.5400000000000205</v>
      </c>
      <c r="F138" s="88">
        <v>43902</v>
      </c>
      <c r="G138">
        <f t="shared" si="4"/>
        <v>0</v>
      </c>
    </row>
    <row r="139" spans="1:7" x14ac:dyDescent="0.25">
      <c r="A139" t="s">
        <v>62</v>
      </c>
      <c r="B139" s="88">
        <v>43903</v>
      </c>
      <c r="C139" s="89">
        <v>73688.73</v>
      </c>
      <c r="D139">
        <v>360.26</v>
      </c>
      <c r="E139">
        <f t="shared" si="5"/>
        <v>0.18999999999999773</v>
      </c>
      <c r="F139" s="88">
        <v>43903</v>
      </c>
      <c r="G139">
        <f t="shared" si="4"/>
        <v>0</v>
      </c>
    </row>
    <row r="140" spans="1:7" x14ac:dyDescent="0.25">
      <c r="A140" s="92" t="s">
        <v>63</v>
      </c>
      <c r="B140" s="90">
        <v>43904</v>
      </c>
      <c r="C140" s="91">
        <v>73688.73</v>
      </c>
      <c r="D140" s="92">
        <v>360.26</v>
      </c>
      <c r="E140" s="92">
        <f>D142-D139</f>
        <v>1.9200000000000159</v>
      </c>
      <c r="F140" s="88">
        <v>43904</v>
      </c>
      <c r="G140">
        <f t="shared" si="4"/>
        <v>0</v>
      </c>
    </row>
    <row r="141" spans="1:7" x14ac:dyDescent="0.25">
      <c r="A141" s="92" t="s">
        <v>64</v>
      </c>
      <c r="B141" s="90">
        <v>43905</v>
      </c>
      <c r="C141" s="91">
        <v>73688.73</v>
      </c>
      <c r="D141" s="92">
        <v>360.26</v>
      </c>
      <c r="E141" s="92">
        <f>D143-D142</f>
        <v>0.31999999999999318</v>
      </c>
      <c r="F141" s="88">
        <v>43905</v>
      </c>
      <c r="G141">
        <f t="shared" si="4"/>
        <v>0</v>
      </c>
    </row>
    <row r="142" spans="1:7" x14ac:dyDescent="0.25">
      <c r="A142" t="s">
        <v>53</v>
      </c>
      <c r="B142" s="88">
        <v>43906</v>
      </c>
      <c r="C142" s="89">
        <v>74081.87</v>
      </c>
      <c r="D142">
        <v>362.18</v>
      </c>
      <c r="E142">
        <f>D144-D143</f>
        <v>-0.68000000000000682</v>
      </c>
      <c r="F142" s="88">
        <v>43906</v>
      </c>
      <c r="G142">
        <f t="shared" si="4"/>
        <v>0</v>
      </c>
    </row>
    <row r="143" spans="1:7" x14ac:dyDescent="0.25">
      <c r="A143" t="s">
        <v>54</v>
      </c>
      <c r="B143" s="88">
        <v>43907</v>
      </c>
      <c r="C143" s="89">
        <v>74146.48</v>
      </c>
      <c r="D143">
        <v>362.5</v>
      </c>
      <c r="E143">
        <f t="shared" ref="E143:E144" si="6">D145-D144</f>
        <v>-361.82</v>
      </c>
      <c r="F143" s="88">
        <v>43907</v>
      </c>
      <c r="G143">
        <f t="shared" si="4"/>
        <v>0</v>
      </c>
    </row>
    <row r="144" spans="1:7" x14ac:dyDescent="0.25">
      <c r="A144" t="s">
        <v>60</v>
      </c>
      <c r="B144" s="88">
        <v>43908</v>
      </c>
      <c r="C144" s="89">
        <v>74007.97</v>
      </c>
      <c r="D144">
        <v>361.82</v>
      </c>
      <c r="E144">
        <f t="shared" si="6"/>
        <v>0</v>
      </c>
      <c r="F144" s="88">
        <v>43908</v>
      </c>
      <c r="G144">
        <f t="shared" si="4"/>
        <v>0</v>
      </c>
    </row>
  </sheetData>
  <sheetProtection algorithmName="SHA-512" hashValue="HluNRq0ZnpojVClMfwlugC2QoXlpnBIOWmSwg9zIBQhYa3rpPiEAE9isIbZnSQbeGgTl0LETuifNdn+rPYye1Q==" saltValue="MFzw2NpOhhJmN5eghDVUa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E16" sqref="E16"/>
    </sheetView>
  </sheetViews>
  <sheetFormatPr baseColWidth="10" defaultRowHeight="15" x14ac:dyDescent="0.25"/>
  <cols>
    <col min="1" max="1" width="15.28515625" bestFit="1" customWidth="1"/>
    <col min="6" max="6" width="12.7109375" bestFit="1" customWidth="1"/>
  </cols>
  <sheetData>
    <row r="1" spans="1:8" x14ac:dyDescent="0.25">
      <c r="A1" s="74" t="s">
        <v>35</v>
      </c>
      <c r="B1" s="74" t="s">
        <v>36</v>
      </c>
      <c r="C1" s="229" t="s">
        <v>37</v>
      </c>
      <c r="D1" s="230"/>
      <c r="E1" s="74" t="s">
        <v>38</v>
      </c>
      <c r="F1" s="74" t="s">
        <v>39</v>
      </c>
    </row>
    <row r="2" spans="1:8" x14ac:dyDescent="0.25">
      <c r="A2" s="75"/>
      <c r="B2" s="75"/>
      <c r="E2" s="231"/>
      <c r="F2" s="232"/>
    </row>
    <row r="3" spans="1:8" x14ac:dyDescent="0.25">
      <c r="A3" s="76">
        <v>1000000000</v>
      </c>
      <c r="B3" s="77">
        <v>0.06</v>
      </c>
      <c r="C3" s="78">
        <v>43832</v>
      </c>
      <c r="D3" s="78">
        <v>43833</v>
      </c>
      <c r="E3" s="79">
        <f>+D3-C3</f>
        <v>1</v>
      </c>
      <c r="F3" s="76">
        <f>+A3*B3/360*E3</f>
        <v>166666.66666666666</v>
      </c>
      <c r="H3" s="83"/>
    </row>
    <row r="4" spans="1:8" x14ac:dyDescent="0.25">
      <c r="A4" s="76">
        <v>1000000000</v>
      </c>
      <c r="B4" s="77">
        <v>0.06</v>
      </c>
      <c r="C4" s="78">
        <f>+D3</f>
        <v>43833</v>
      </c>
      <c r="D4" s="78">
        <v>43834</v>
      </c>
      <c r="E4" s="79">
        <f t="shared" ref="E4:E31" si="0">+D4-C4</f>
        <v>1</v>
      </c>
      <c r="F4" s="76">
        <f t="shared" ref="F4:F32" si="1">+A4*B4/360*E4</f>
        <v>166666.66666666666</v>
      </c>
      <c r="H4" s="83"/>
    </row>
    <row r="5" spans="1:8" x14ac:dyDescent="0.25">
      <c r="A5" s="76">
        <v>1000000000</v>
      </c>
      <c r="B5" s="77">
        <v>0.06</v>
      </c>
      <c r="C5" s="78">
        <f>+D4</f>
        <v>43834</v>
      </c>
      <c r="D5" s="78">
        <v>43835</v>
      </c>
      <c r="E5" s="79">
        <f t="shared" si="0"/>
        <v>1</v>
      </c>
      <c r="F5" s="76">
        <f t="shared" si="1"/>
        <v>166666.66666666666</v>
      </c>
      <c r="H5" s="72"/>
    </row>
    <row r="6" spans="1:8" x14ac:dyDescent="0.25">
      <c r="A6" s="76">
        <v>1000000000</v>
      </c>
      <c r="B6" s="77">
        <v>0.06</v>
      </c>
      <c r="C6" s="78">
        <f t="shared" ref="C6:C32" si="2">+D5</f>
        <v>43835</v>
      </c>
      <c r="D6" s="78">
        <v>43836</v>
      </c>
      <c r="E6" s="79">
        <f t="shared" si="0"/>
        <v>1</v>
      </c>
      <c r="F6" s="76">
        <f t="shared" si="1"/>
        <v>166666.66666666666</v>
      </c>
    </row>
    <row r="7" spans="1:8" x14ac:dyDescent="0.25">
      <c r="A7" s="76">
        <v>1000000000</v>
      </c>
      <c r="B7" s="77">
        <v>0.06</v>
      </c>
      <c r="C7" s="78">
        <f t="shared" si="2"/>
        <v>43836</v>
      </c>
      <c r="D7" s="78">
        <v>43837</v>
      </c>
      <c r="E7" s="79">
        <f t="shared" si="0"/>
        <v>1</v>
      </c>
      <c r="F7" s="76">
        <f t="shared" si="1"/>
        <v>166666.66666666666</v>
      </c>
    </row>
    <row r="8" spans="1:8" x14ac:dyDescent="0.25">
      <c r="A8" s="76">
        <v>1000000000</v>
      </c>
      <c r="B8" s="77">
        <v>0.06</v>
      </c>
      <c r="C8" s="78">
        <f t="shared" si="2"/>
        <v>43837</v>
      </c>
      <c r="D8" s="78">
        <v>43838</v>
      </c>
      <c r="E8" s="79">
        <f t="shared" si="0"/>
        <v>1</v>
      </c>
      <c r="F8" s="76">
        <f t="shared" si="1"/>
        <v>166666.66666666666</v>
      </c>
    </row>
    <row r="9" spans="1:8" x14ac:dyDescent="0.25">
      <c r="A9" s="76">
        <v>1000000000</v>
      </c>
      <c r="B9" s="77">
        <v>0.06</v>
      </c>
      <c r="C9" s="78">
        <f t="shared" si="2"/>
        <v>43838</v>
      </c>
      <c r="D9" s="78">
        <v>43839</v>
      </c>
      <c r="E9" s="79">
        <f t="shared" si="0"/>
        <v>1</v>
      </c>
      <c r="F9" s="76">
        <f t="shared" si="1"/>
        <v>166666.66666666666</v>
      </c>
    </row>
    <row r="10" spans="1:8" x14ac:dyDescent="0.25">
      <c r="A10" s="76">
        <v>1000000000</v>
      </c>
      <c r="B10" s="77">
        <v>0.06</v>
      </c>
      <c r="C10" s="78">
        <f t="shared" si="2"/>
        <v>43839</v>
      </c>
      <c r="D10" s="78">
        <v>43840</v>
      </c>
      <c r="E10" s="79">
        <f t="shared" si="0"/>
        <v>1</v>
      </c>
      <c r="F10" s="76">
        <f t="shared" si="1"/>
        <v>166666.66666666666</v>
      </c>
    </row>
    <row r="11" spans="1:8" x14ac:dyDescent="0.25">
      <c r="A11" s="76">
        <v>1000000000</v>
      </c>
      <c r="B11" s="77">
        <v>0.06</v>
      </c>
      <c r="C11" s="78">
        <f t="shared" si="2"/>
        <v>43840</v>
      </c>
      <c r="D11" s="78">
        <v>43841</v>
      </c>
      <c r="E11" s="79">
        <f t="shared" si="0"/>
        <v>1</v>
      </c>
      <c r="F11" s="76">
        <f t="shared" si="1"/>
        <v>166666.66666666666</v>
      </c>
    </row>
    <row r="12" spans="1:8" x14ac:dyDescent="0.25">
      <c r="A12" s="76">
        <v>1000000000</v>
      </c>
      <c r="B12" s="77">
        <v>0.06</v>
      </c>
      <c r="C12" s="78">
        <f t="shared" si="2"/>
        <v>43841</v>
      </c>
      <c r="D12" s="78">
        <v>43842</v>
      </c>
      <c r="E12" s="79">
        <f t="shared" si="0"/>
        <v>1</v>
      </c>
      <c r="F12" s="76">
        <f t="shared" si="1"/>
        <v>166666.66666666666</v>
      </c>
    </row>
    <row r="13" spans="1:8" x14ac:dyDescent="0.25">
      <c r="A13" s="76">
        <v>1000000000</v>
      </c>
      <c r="B13" s="77">
        <v>0.06</v>
      </c>
      <c r="C13" s="78">
        <f t="shared" si="2"/>
        <v>43842</v>
      </c>
      <c r="D13" s="78">
        <v>43843</v>
      </c>
      <c r="E13" s="79">
        <f t="shared" si="0"/>
        <v>1</v>
      </c>
      <c r="F13" s="76">
        <f t="shared" si="1"/>
        <v>166666.66666666666</v>
      </c>
    </row>
    <row r="14" spans="1:8" x14ac:dyDescent="0.25">
      <c r="A14" s="76">
        <v>1000000000</v>
      </c>
      <c r="B14" s="77">
        <v>0.06</v>
      </c>
      <c r="C14" s="78">
        <f t="shared" si="2"/>
        <v>43843</v>
      </c>
      <c r="D14" s="78">
        <v>43844</v>
      </c>
      <c r="E14" s="79">
        <f t="shared" si="0"/>
        <v>1</v>
      </c>
      <c r="F14" s="76">
        <f t="shared" si="1"/>
        <v>166666.66666666666</v>
      </c>
    </row>
    <row r="15" spans="1:8" x14ac:dyDescent="0.25">
      <c r="A15" s="76">
        <v>1000000000</v>
      </c>
      <c r="B15" s="77">
        <v>0.06</v>
      </c>
      <c r="C15" s="78">
        <f t="shared" si="2"/>
        <v>43844</v>
      </c>
      <c r="D15" s="78">
        <v>43845</v>
      </c>
      <c r="E15" s="79">
        <f t="shared" si="0"/>
        <v>1</v>
      </c>
      <c r="F15" s="76">
        <f t="shared" si="1"/>
        <v>166666.66666666666</v>
      </c>
    </row>
    <row r="16" spans="1:8" x14ac:dyDescent="0.25">
      <c r="A16" s="76">
        <v>1000000000</v>
      </c>
      <c r="B16" s="77">
        <v>0.06</v>
      </c>
      <c r="C16" s="78">
        <f t="shared" si="2"/>
        <v>43845</v>
      </c>
      <c r="D16" s="78">
        <v>43846</v>
      </c>
      <c r="E16" s="79">
        <f t="shared" si="0"/>
        <v>1</v>
      </c>
      <c r="F16" s="76">
        <f t="shared" si="1"/>
        <v>166666.66666666666</v>
      </c>
    </row>
    <row r="17" spans="1:6" x14ac:dyDescent="0.25">
      <c r="A17" s="76">
        <v>1000000000</v>
      </c>
      <c r="B17" s="77">
        <v>0.06</v>
      </c>
      <c r="C17" s="78">
        <f t="shared" si="2"/>
        <v>43846</v>
      </c>
      <c r="D17" s="78">
        <v>43847</v>
      </c>
      <c r="E17" s="79">
        <f t="shared" si="0"/>
        <v>1</v>
      </c>
      <c r="F17" s="76">
        <f t="shared" si="1"/>
        <v>166666.66666666666</v>
      </c>
    </row>
    <row r="18" spans="1:6" x14ac:dyDescent="0.25">
      <c r="A18" s="76">
        <v>1000000000</v>
      </c>
      <c r="B18" s="77">
        <v>0.06</v>
      </c>
      <c r="C18" s="78">
        <f t="shared" si="2"/>
        <v>43847</v>
      </c>
      <c r="D18" s="78">
        <v>43848</v>
      </c>
      <c r="E18" s="79">
        <f t="shared" si="0"/>
        <v>1</v>
      </c>
      <c r="F18" s="76">
        <f t="shared" si="1"/>
        <v>166666.66666666666</v>
      </c>
    </row>
    <row r="19" spans="1:6" x14ac:dyDescent="0.25">
      <c r="A19" s="76">
        <v>1000000000</v>
      </c>
      <c r="B19" s="77">
        <v>0.06</v>
      </c>
      <c r="C19" s="78">
        <f t="shared" si="2"/>
        <v>43848</v>
      </c>
      <c r="D19" s="78">
        <v>43849</v>
      </c>
      <c r="E19" s="79">
        <f t="shared" si="0"/>
        <v>1</v>
      </c>
      <c r="F19" s="76">
        <f t="shared" si="1"/>
        <v>166666.66666666666</v>
      </c>
    </row>
    <row r="20" spans="1:6" x14ac:dyDescent="0.25">
      <c r="A20" s="76">
        <v>1000000000</v>
      </c>
      <c r="B20" s="77">
        <v>0.06</v>
      </c>
      <c r="C20" s="78">
        <f t="shared" si="2"/>
        <v>43849</v>
      </c>
      <c r="D20" s="78">
        <v>43850</v>
      </c>
      <c r="E20" s="79">
        <f t="shared" si="0"/>
        <v>1</v>
      </c>
      <c r="F20" s="76">
        <f t="shared" si="1"/>
        <v>166666.66666666666</v>
      </c>
    </row>
    <row r="21" spans="1:6" x14ac:dyDescent="0.25">
      <c r="A21" s="76">
        <v>1000000000</v>
      </c>
      <c r="B21" s="77">
        <v>0.06</v>
      </c>
      <c r="C21" s="78">
        <f t="shared" si="2"/>
        <v>43850</v>
      </c>
      <c r="D21" s="78">
        <v>43851</v>
      </c>
      <c r="E21" s="79">
        <f t="shared" si="0"/>
        <v>1</v>
      </c>
      <c r="F21" s="76">
        <f t="shared" si="1"/>
        <v>166666.66666666666</v>
      </c>
    </row>
    <row r="22" spans="1:6" x14ac:dyDescent="0.25">
      <c r="A22" s="76">
        <v>1000000000</v>
      </c>
      <c r="B22" s="77">
        <v>0.06</v>
      </c>
      <c r="C22" s="78">
        <f t="shared" si="2"/>
        <v>43851</v>
      </c>
      <c r="D22" s="78">
        <v>43852</v>
      </c>
      <c r="E22" s="79">
        <f t="shared" si="0"/>
        <v>1</v>
      </c>
      <c r="F22" s="76">
        <f t="shared" si="1"/>
        <v>166666.66666666666</v>
      </c>
    </row>
    <row r="23" spans="1:6" x14ac:dyDescent="0.25">
      <c r="A23" s="76">
        <v>1000000000</v>
      </c>
      <c r="B23" s="77">
        <v>0.06</v>
      </c>
      <c r="C23" s="78">
        <f t="shared" si="2"/>
        <v>43852</v>
      </c>
      <c r="D23" s="78">
        <v>43853</v>
      </c>
      <c r="E23" s="79">
        <f t="shared" si="0"/>
        <v>1</v>
      </c>
      <c r="F23" s="76">
        <f t="shared" si="1"/>
        <v>166666.66666666666</v>
      </c>
    </row>
    <row r="24" spans="1:6" x14ac:dyDescent="0.25">
      <c r="A24" s="76">
        <v>1000000000</v>
      </c>
      <c r="B24" s="77">
        <v>0.06</v>
      </c>
      <c r="C24" s="78">
        <f t="shared" si="2"/>
        <v>43853</v>
      </c>
      <c r="D24" s="78">
        <v>43854</v>
      </c>
      <c r="E24" s="79">
        <f t="shared" si="0"/>
        <v>1</v>
      </c>
      <c r="F24" s="76">
        <f t="shared" si="1"/>
        <v>166666.66666666666</v>
      </c>
    </row>
    <row r="25" spans="1:6" x14ac:dyDescent="0.25">
      <c r="A25" s="76">
        <v>1000000000</v>
      </c>
      <c r="B25" s="77">
        <v>0.06</v>
      </c>
      <c r="C25" s="78">
        <f t="shared" si="2"/>
        <v>43854</v>
      </c>
      <c r="D25" s="78">
        <v>43855</v>
      </c>
      <c r="E25" s="79">
        <f t="shared" si="0"/>
        <v>1</v>
      </c>
      <c r="F25" s="76">
        <f t="shared" si="1"/>
        <v>166666.66666666666</v>
      </c>
    </row>
    <row r="26" spans="1:6" x14ac:dyDescent="0.25">
      <c r="A26" s="76">
        <v>1000000000</v>
      </c>
      <c r="B26" s="77">
        <v>0.06</v>
      </c>
      <c r="C26" s="78">
        <f t="shared" si="2"/>
        <v>43855</v>
      </c>
      <c r="D26" s="78">
        <v>43856</v>
      </c>
      <c r="E26" s="79">
        <f t="shared" si="0"/>
        <v>1</v>
      </c>
      <c r="F26" s="76">
        <f t="shared" si="1"/>
        <v>166666.66666666666</v>
      </c>
    </row>
    <row r="27" spans="1:6" x14ac:dyDescent="0.25">
      <c r="A27" s="76">
        <v>1000000000</v>
      </c>
      <c r="B27" s="77">
        <v>0.06</v>
      </c>
      <c r="C27" s="78">
        <f t="shared" si="2"/>
        <v>43856</v>
      </c>
      <c r="D27" s="78">
        <v>43857</v>
      </c>
      <c r="E27" s="79">
        <f t="shared" si="0"/>
        <v>1</v>
      </c>
      <c r="F27" s="76">
        <f t="shared" si="1"/>
        <v>166666.66666666666</v>
      </c>
    </row>
    <row r="28" spans="1:6" x14ac:dyDescent="0.25">
      <c r="A28" s="76">
        <v>1000000000</v>
      </c>
      <c r="B28" s="77">
        <v>0.06</v>
      </c>
      <c r="C28" s="78">
        <f t="shared" si="2"/>
        <v>43857</v>
      </c>
      <c r="D28" s="78">
        <v>43858</v>
      </c>
      <c r="E28" s="79">
        <f t="shared" si="0"/>
        <v>1</v>
      </c>
      <c r="F28" s="76">
        <f t="shared" si="1"/>
        <v>166666.66666666666</v>
      </c>
    </row>
    <row r="29" spans="1:6" x14ac:dyDescent="0.25">
      <c r="A29" s="76">
        <v>1000000000</v>
      </c>
      <c r="B29" s="77">
        <v>0.06</v>
      </c>
      <c r="C29" s="78">
        <f t="shared" si="2"/>
        <v>43858</v>
      </c>
      <c r="D29" s="78">
        <v>43859</v>
      </c>
      <c r="E29" s="79">
        <f t="shared" si="0"/>
        <v>1</v>
      </c>
      <c r="F29" s="76">
        <f t="shared" si="1"/>
        <v>166666.66666666666</v>
      </c>
    </row>
    <row r="30" spans="1:6" x14ac:dyDescent="0.25">
      <c r="A30" s="76">
        <v>1000000000</v>
      </c>
      <c r="B30" s="77">
        <v>0.06</v>
      </c>
      <c r="C30" s="78">
        <f t="shared" si="2"/>
        <v>43859</v>
      </c>
      <c r="D30" s="78">
        <v>43860</v>
      </c>
      <c r="E30" s="79">
        <f t="shared" si="0"/>
        <v>1</v>
      </c>
      <c r="F30" s="76">
        <f t="shared" si="1"/>
        <v>166666.66666666666</v>
      </c>
    </row>
    <row r="31" spans="1:6" x14ac:dyDescent="0.25">
      <c r="A31" s="76">
        <v>1000000000</v>
      </c>
      <c r="B31" s="77">
        <v>0.06</v>
      </c>
      <c r="C31" s="78">
        <f t="shared" si="2"/>
        <v>43860</v>
      </c>
      <c r="D31" s="78">
        <v>43861</v>
      </c>
      <c r="E31" s="79">
        <f t="shared" si="0"/>
        <v>1</v>
      </c>
      <c r="F31" s="76">
        <f t="shared" si="1"/>
        <v>166666.66666666666</v>
      </c>
    </row>
    <row r="32" spans="1:6" x14ac:dyDescent="0.25">
      <c r="A32" s="76">
        <v>1000000000</v>
      </c>
      <c r="B32" s="77">
        <v>0.06</v>
      </c>
      <c r="C32" s="78">
        <f t="shared" si="2"/>
        <v>43861</v>
      </c>
      <c r="D32" s="78">
        <v>43862</v>
      </c>
      <c r="E32" s="79">
        <f>+D32-C32</f>
        <v>1</v>
      </c>
      <c r="F32" s="76">
        <f t="shared" si="1"/>
        <v>166666.66666666666</v>
      </c>
    </row>
    <row r="33" spans="5:6" x14ac:dyDescent="0.25">
      <c r="E33" s="80">
        <f>SUM(E3:E32)</f>
        <v>30</v>
      </c>
      <c r="F33" s="81">
        <f>SUM(F3:F32)</f>
        <v>5000000</v>
      </c>
    </row>
  </sheetData>
  <sheetProtection algorithmName="SHA-512" hashValue="bUJ33ClKo3A4XKZRVgmNzUowZU6u9tnQ/um82qCdbZrTigYobApQ4ihG/mSXg4PlDnL1BsIIkw7b/IC5Bl1SwQ==" saltValue="eZnJ9TwdHZqFKSKsKitJ7A==" spinCount="100000" sheet="1" objects="1" scenarios="1"/>
  <mergeCells count="2">
    <mergeCell ref="C1:D1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H25" zoomScale="86" zoomScaleNormal="86" workbookViewId="0">
      <selection activeCell="E16" sqref="E16"/>
    </sheetView>
  </sheetViews>
  <sheetFormatPr baseColWidth="10" defaultRowHeight="15" x14ac:dyDescent="0.25"/>
  <cols>
    <col min="1" max="1" width="21.85546875" bestFit="1" customWidth="1"/>
    <col min="2" max="2" width="19.28515625" bestFit="1" customWidth="1"/>
    <col min="3" max="3" width="10.42578125" customWidth="1"/>
    <col min="4" max="4" width="11.5703125" customWidth="1"/>
    <col min="5" max="5" width="15.28515625" customWidth="1"/>
    <col min="6" max="6" width="15.5703125" customWidth="1"/>
    <col min="7" max="7" width="16.140625" customWidth="1"/>
    <col min="8" max="8" width="16.7109375" customWidth="1"/>
    <col min="9" max="9" width="18.42578125" customWidth="1"/>
    <col min="10" max="10" width="20.28515625" customWidth="1"/>
    <col min="11" max="11" width="19.85546875" customWidth="1"/>
    <col min="12" max="12" width="19.7109375" customWidth="1"/>
    <col min="13" max="13" width="18.42578125" customWidth="1"/>
    <col min="14" max="14" width="20.85546875" customWidth="1"/>
    <col min="15" max="15" width="20.140625" customWidth="1"/>
    <col min="16" max="16" width="19.5703125" customWidth="1"/>
    <col min="17" max="17" width="18.28515625" customWidth="1"/>
    <col min="18" max="18" width="14.140625" bestFit="1" customWidth="1"/>
    <col min="19" max="19" width="14.42578125" bestFit="1" customWidth="1"/>
    <col min="20" max="20" width="14.85546875" bestFit="1" customWidth="1"/>
    <col min="21" max="21" width="15.42578125" bestFit="1" customWidth="1"/>
  </cols>
  <sheetData>
    <row r="1" spans="1:19" x14ac:dyDescent="0.25">
      <c r="A1" t="s">
        <v>52</v>
      </c>
      <c r="B1" s="88">
        <v>43878</v>
      </c>
    </row>
    <row r="2" spans="1:19" x14ac:dyDescent="0.25">
      <c r="A2" t="s">
        <v>49</v>
      </c>
      <c r="B2" t="s">
        <v>50</v>
      </c>
    </row>
    <row r="3" spans="1:19" ht="15.75" thickBot="1" x14ac:dyDescent="0.3">
      <c r="K3" t="s">
        <v>41</v>
      </c>
    </row>
    <row r="4" spans="1:19" ht="15.75" x14ac:dyDescent="0.25">
      <c r="A4" s="1" t="s">
        <v>0</v>
      </c>
      <c r="B4" s="85">
        <v>6</v>
      </c>
      <c r="K4" t="s">
        <v>42</v>
      </c>
    </row>
    <row r="5" spans="1:19" ht="15.75" x14ac:dyDescent="0.25">
      <c r="A5" s="2" t="s">
        <v>1</v>
      </c>
      <c r="B5" s="3">
        <f>+B4/12</f>
        <v>0.5</v>
      </c>
      <c r="C5">
        <f>+B4/360</f>
        <v>1.6666666666666666E-2</v>
      </c>
      <c r="K5" t="s">
        <v>43</v>
      </c>
    </row>
    <row r="6" spans="1:19" ht="15.75" x14ac:dyDescent="0.25">
      <c r="A6" s="2" t="s">
        <v>16</v>
      </c>
      <c r="B6" s="3">
        <v>1000000000</v>
      </c>
      <c r="D6" s="5"/>
      <c r="G6" s="5"/>
      <c r="K6" t="s">
        <v>42</v>
      </c>
      <c r="M6" s="5"/>
      <c r="N6" s="5"/>
    </row>
    <row r="7" spans="1:19" ht="15.75" x14ac:dyDescent="0.25">
      <c r="A7" s="2" t="s">
        <v>3</v>
      </c>
      <c r="B7" s="4" t="s">
        <v>47</v>
      </c>
      <c r="D7" s="5"/>
      <c r="G7" s="83">
        <f>F14*D14</f>
        <v>0</v>
      </c>
      <c r="K7" t="s">
        <v>42</v>
      </c>
      <c r="M7" s="5"/>
      <c r="N7" s="5"/>
    </row>
    <row r="8" spans="1:19" ht="110.25" hidden="1" x14ac:dyDescent="0.25">
      <c r="A8" s="6" t="s">
        <v>4</v>
      </c>
      <c r="B8" s="7">
        <v>629.39537065264267</v>
      </c>
      <c r="D8" s="5"/>
      <c r="G8" s="5"/>
      <c r="M8" s="5"/>
      <c r="N8" s="5"/>
    </row>
    <row r="9" spans="1:19" ht="48" thickBot="1" x14ac:dyDescent="0.3">
      <c r="A9" s="36" t="s">
        <v>5</v>
      </c>
      <c r="B9" s="68"/>
      <c r="D9" s="5"/>
      <c r="G9" s="5"/>
      <c r="M9" s="5"/>
      <c r="N9" s="5"/>
    </row>
    <row r="10" spans="1:19" ht="43.5" customHeight="1" thickBot="1" x14ac:dyDescent="0.3">
      <c r="B10" s="8"/>
      <c r="D10" s="5"/>
      <c r="E10" s="233" t="s">
        <v>6</v>
      </c>
      <c r="F10" s="234"/>
      <c r="G10" s="235"/>
      <c r="H10" s="236" t="s">
        <v>7</v>
      </c>
      <c r="I10" s="237"/>
      <c r="J10" s="237"/>
      <c r="K10" s="237"/>
      <c r="L10" s="238"/>
      <c r="M10" s="5"/>
      <c r="N10" s="5"/>
    </row>
    <row r="11" spans="1:19" ht="45.75" thickBot="1" x14ac:dyDescent="0.3">
      <c r="A11" s="9" t="s">
        <v>51</v>
      </c>
      <c r="B11" s="9" t="s">
        <v>8</v>
      </c>
      <c r="C11" s="9" t="s">
        <v>9</v>
      </c>
      <c r="D11" s="9" t="s">
        <v>10</v>
      </c>
      <c r="E11" s="37" t="s">
        <v>11</v>
      </c>
      <c r="F11" s="24" t="s">
        <v>3</v>
      </c>
      <c r="G11" s="38" t="s">
        <v>12</v>
      </c>
      <c r="H11" s="49" t="s">
        <v>11</v>
      </c>
      <c r="I11" s="239" t="s">
        <v>3</v>
      </c>
      <c r="J11" s="240"/>
      <c r="K11" s="241"/>
      <c r="L11" s="50" t="s">
        <v>12</v>
      </c>
      <c r="M11" s="9" t="s">
        <v>13</v>
      </c>
      <c r="N11" s="9" t="s">
        <v>14</v>
      </c>
      <c r="P11" t="s">
        <v>44</v>
      </c>
      <c r="Q11" t="s">
        <v>45</v>
      </c>
    </row>
    <row r="12" spans="1:19" ht="30" x14ac:dyDescent="0.25">
      <c r="B12" s="11"/>
      <c r="C12" s="11"/>
      <c r="D12" s="11"/>
      <c r="E12" s="39"/>
      <c r="F12" s="40"/>
      <c r="G12" s="41"/>
      <c r="H12" s="51"/>
      <c r="I12" s="52" t="s">
        <v>26</v>
      </c>
      <c r="J12" s="52" t="s">
        <v>27</v>
      </c>
      <c r="K12" s="52" t="s">
        <v>15</v>
      </c>
      <c r="L12" s="53"/>
      <c r="M12" s="11"/>
      <c r="N12" s="11"/>
      <c r="O12" s="87" t="s">
        <v>48</v>
      </c>
      <c r="P12" s="87" t="s">
        <v>40</v>
      </c>
      <c r="Q12" s="87" t="s">
        <v>46</v>
      </c>
    </row>
    <row r="13" spans="1:19" x14ac:dyDescent="0.25">
      <c r="A13" s="88">
        <v>43878</v>
      </c>
      <c r="B13" s="12"/>
      <c r="C13" s="12"/>
      <c r="D13" s="13">
        <f>VLOOKUP(A13,'IDI 18MARZO'!B:D,3,0)</f>
        <v>358.82</v>
      </c>
      <c r="E13" s="42"/>
      <c r="F13" s="43"/>
      <c r="G13" s="44"/>
      <c r="H13" s="54"/>
      <c r="I13" s="55"/>
      <c r="J13" s="55"/>
      <c r="K13" s="55"/>
      <c r="L13" s="56"/>
      <c r="M13" s="13">
        <f>+B6/D13</f>
        <v>2786912.6581572932</v>
      </c>
      <c r="N13" s="13">
        <v>1000000000</v>
      </c>
      <c r="O13" s="72"/>
      <c r="R13" s="13">
        <f>VLOOKUP(A13,'IDI 18MARZO'!B:D,3,0)</f>
        <v>358.82</v>
      </c>
    </row>
    <row r="14" spans="1:19" x14ac:dyDescent="0.25">
      <c r="A14" s="88">
        <v>43879</v>
      </c>
      <c r="B14" s="84">
        <v>20</v>
      </c>
      <c r="C14" s="73">
        <f>+B4/360</f>
        <v>1.6666666666666666E-2</v>
      </c>
      <c r="D14" s="13">
        <f>IF(R14&gt;$D$13,R14,$D$13)</f>
        <v>359.2</v>
      </c>
      <c r="E14" s="45">
        <f>+M13*C14/100</f>
        <v>464.48544302621553</v>
      </c>
      <c r="F14" s="82"/>
      <c r="G14" s="47">
        <f t="shared" ref="G14:G43" si="0">+E14+F14</f>
        <v>464.48544302621553</v>
      </c>
      <c r="H14" s="57">
        <f>+E14*D14</f>
        <v>166843.1711350166</v>
      </c>
      <c r="I14" s="58"/>
      <c r="J14" s="58">
        <f>+F14*D14-I14</f>
        <v>0</v>
      </c>
      <c r="K14" s="58">
        <f>+F14*D14</f>
        <v>0</v>
      </c>
      <c r="L14" s="59">
        <f t="shared" ref="L14:L43" si="1">+H14+K14</f>
        <v>166843.1711350166</v>
      </c>
      <c r="M14" s="13">
        <f>+M13-F14</f>
        <v>2786912.6581572932</v>
      </c>
      <c r="N14" s="13">
        <f>+M14*D14</f>
        <v>1001059026.8100997</v>
      </c>
      <c r="O14" s="72">
        <f>+N14-N13</f>
        <v>1059026.810099721</v>
      </c>
      <c r="P14" s="13">
        <v>166666.66666666666</v>
      </c>
      <c r="Q14" s="72">
        <f>H14-P14</f>
        <v>176.50446834994364</v>
      </c>
      <c r="R14" s="13">
        <f>VLOOKUP(A14,'IDI 18MARZO'!B:D,3,0)</f>
        <v>359.2</v>
      </c>
      <c r="S14" s="72">
        <f>R14-R13</f>
        <v>0.37999999999999545</v>
      </c>
    </row>
    <row r="15" spans="1:19" x14ac:dyDescent="0.25">
      <c r="A15" s="88">
        <v>43880</v>
      </c>
      <c r="B15" s="84">
        <v>20</v>
      </c>
      <c r="C15" s="73">
        <f t="shared" ref="C15:C43" si="2">+C14</f>
        <v>1.6666666666666666E-2</v>
      </c>
      <c r="D15" s="13">
        <f t="shared" ref="D15:D43" si="3">IF(R15&gt;$D$13,R15,$D$13)</f>
        <v>360.67</v>
      </c>
      <c r="E15" s="45">
        <f t="shared" ref="E15:E42" si="4">+M14*C15/100</f>
        <v>464.48544302621553</v>
      </c>
      <c r="F15" s="82"/>
      <c r="G15" s="47">
        <f t="shared" ref="G15:G42" si="5">+E15+F15</f>
        <v>464.48544302621553</v>
      </c>
      <c r="H15" s="57">
        <f t="shared" ref="H15:H42" si="6">+E15*D15</f>
        <v>167525.96473626516</v>
      </c>
      <c r="I15" s="58"/>
      <c r="J15" s="58">
        <f t="shared" ref="J15:J42" si="7">+F15*D15-I15</f>
        <v>0</v>
      </c>
      <c r="K15" s="58">
        <f t="shared" ref="K15:K42" si="8">+F15*D15</f>
        <v>0</v>
      </c>
      <c r="L15" s="59">
        <f t="shared" ref="L15:L42" si="9">+H15+K15</f>
        <v>167525.96473626516</v>
      </c>
      <c r="M15" s="13">
        <f t="shared" ref="M15:M43" si="10">+M14-F15</f>
        <v>2786912.6581572932</v>
      </c>
      <c r="N15" s="13">
        <f t="shared" ref="N15:N43" si="11">+M15*D15</f>
        <v>1005155788.417591</v>
      </c>
      <c r="O15" s="72">
        <f t="shared" ref="O15:O42" si="12">+N15-N14</f>
        <v>4096761.6074912548</v>
      </c>
      <c r="P15" s="13">
        <v>166666.66666666666</v>
      </c>
      <c r="Q15" s="72">
        <f t="shared" ref="Q15:Q43" si="13">H15-P15</f>
        <v>859.29806959850248</v>
      </c>
      <c r="R15" s="13">
        <f>VLOOKUP(A15,'IDI 18MARZO'!B:D,3,0)</f>
        <v>360.67</v>
      </c>
      <c r="S15" s="72">
        <f t="shared" ref="S15:S43" si="14">R15-R14</f>
        <v>1.4700000000000273</v>
      </c>
    </row>
    <row r="16" spans="1:19" x14ac:dyDescent="0.25">
      <c r="A16" s="88">
        <v>43881</v>
      </c>
      <c r="B16" s="84">
        <v>20</v>
      </c>
      <c r="C16" s="73">
        <f t="shared" si="2"/>
        <v>1.6666666666666666E-2</v>
      </c>
      <c r="D16" s="13">
        <f t="shared" si="3"/>
        <v>360.61</v>
      </c>
      <c r="E16" s="45">
        <f t="shared" si="4"/>
        <v>464.48544302621553</v>
      </c>
      <c r="F16" s="82"/>
      <c r="G16" s="47">
        <f t="shared" si="5"/>
        <v>464.48544302621553</v>
      </c>
      <c r="H16" s="57">
        <f t="shared" si="6"/>
        <v>167498.0956096836</v>
      </c>
      <c r="I16" s="58"/>
      <c r="J16" s="58">
        <f t="shared" si="7"/>
        <v>0</v>
      </c>
      <c r="K16" s="58">
        <f t="shared" si="8"/>
        <v>0</v>
      </c>
      <c r="L16" s="59">
        <f t="shared" si="9"/>
        <v>167498.0956096836</v>
      </c>
      <c r="M16" s="13">
        <f t="shared" si="10"/>
        <v>2786912.6581572932</v>
      </c>
      <c r="N16" s="13">
        <f t="shared" si="11"/>
        <v>1004988573.6581016</v>
      </c>
      <c r="O16" s="72">
        <f t="shared" si="12"/>
        <v>-167214.75948941708</v>
      </c>
      <c r="P16" s="13">
        <v>166666.66666666666</v>
      </c>
      <c r="Q16" s="72">
        <f t="shared" si="13"/>
        <v>831.42894301694469</v>
      </c>
      <c r="R16" s="13">
        <f>VLOOKUP(A16,'IDI 18MARZO'!B:D,3,0)</f>
        <v>360.61</v>
      </c>
      <c r="S16" s="72">
        <f t="shared" si="14"/>
        <v>-6.0000000000002274E-2</v>
      </c>
    </row>
    <row r="17" spans="1:19" x14ac:dyDescent="0.25">
      <c r="A17" s="88">
        <v>43882</v>
      </c>
      <c r="B17" s="84">
        <v>20</v>
      </c>
      <c r="C17" s="73">
        <f t="shared" si="2"/>
        <v>1.6666666666666666E-2</v>
      </c>
      <c r="D17" s="13">
        <f t="shared" si="3"/>
        <v>360.74</v>
      </c>
      <c r="E17" s="45">
        <f t="shared" si="4"/>
        <v>464.48544302621553</v>
      </c>
      <c r="F17" s="82"/>
      <c r="G17" s="47">
        <f t="shared" si="5"/>
        <v>464.48544302621553</v>
      </c>
      <c r="H17" s="57">
        <f t="shared" si="6"/>
        <v>167558.478717277</v>
      </c>
      <c r="I17" s="58"/>
      <c r="J17" s="58">
        <f t="shared" si="7"/>
        <v>0</v>
      </c>
      <c r="K17" s="58">
        <f t="shared" si="8"/>
        <v>0</v>
      </c>
      <c r="L17" s="59">
        <f t="shared" si="9"/>
        <v>167558.478717277</v>
      </c>
      <c r="M17" s="13">
        <f t="shared" si="10"/>
        <v>2786912.6581572932</v>
      </c>
      <c r="N17" s="13">
        <f t="shared" si="11"/>
        <v>1005350872.3036619</v>
      </c>
      <c r="O17" s="72">
        <f t="shared" si="12"/>
        <v>362298.6455603838</v>
      </c>
      <c r="P17" s="13">
        <v>166666.66666666666</v>
      </c>
      <c r="Q17" s="72">
        <f t="shared" si="13"/>
        <v>891.81205061034416</v>
      </c>
      <c r="R17" s="13">
        <f>VLOOKUP(A17,'IDI 18MARZO'!B:D,3,0)</f>
        <v>360.74</v>
      </c>
      <c r="S17" s="72">
        <f t="shared" si="14"/>
        <v>0.12999999999999545</v>
      </c>
    </row>
    <row r="18" spans="1:19" x14ac:dyDescent="0.25">
      <c r="A18" s="88">
        <v>43883</v>
      </c>
      <c r="B18" s="84">
        <v>15</v>
      </c>
      <c r="C18" s="73">
        <f t="shared" si="2"/>
        <v>1.6666666666666666E-2</v>
      </c>
      <c r="D18" s="13">
        <f t="shared" si="3"/>
        <v>360.74</v>
      </c>
      <c r="E18" s="45">
        <f t="shared" si="4"/>
        <v>464.48544302621553</v>
      </c>
      <c r="F18" s="82"/>
      <c r="G18" s="47">
        <f t="shared" si="5"/>
        <v>464.48544302621553</v>
      </c>
      <c r="H18" s="57">
        <f t="shared" si="6"/>
        <v>167558.478717277</v>
      </c>
      <c r="I18" s="58"/>
      <c r="J18" s="58">
        <f t="shared" si="7"/>
        <v>0</v>
      </c>
      <c r="K18" s="58">
        <f t="shared" si="8"/>
        <v>0</v>
      </c>
      <c r="L18" s="59">
        <f t="shared" si="9"/>
        <v>167558.478717277</v>
      </c>
      <c r="M18" s="13">
        <f t="shared" si="10"/>
        <v>2786912.6581572932</v>
      </c>
      <c r="N18" s="13">
        <f t="shared" si="11"/>
        <v>1005350872.3036619</v>
      </c>
      <c r="O18" s="72">
        <f t="shared" si="12"/>
        <v>0</v>
      </c>
      <c r="P18" s="13">
        <v>166666.66666666666</v>
      </c>
      <c r="Q18" s="72">
        <f t="shared" si="13"/>
        <v>891.81205061034416</v>
      </c>
      <c r="R18" s="13">
        <f>VLOOKUP(A18,'IDI 18MARZO'!B:D,3,0)</f>
        <v>360.74</v>
      </c>
      <c r="S18" s="72">
        <f t="shared" si="14"/>
        <v>0</v>
      </c>
    </row>
    <row r="19" spans="1:19" x14ac:dyDescent="0.25">
      <c r="A19" s="88">
        <v>43884</v>
      </c>
      <c r="B19" s="84">
        <v>15</v>
      </c>
      <c r="C19" s="73">
        <f t="shared" si="2"/>
        <v>1.6666666666666666E-2</v>
      </c>
      <c r="D19" s="13">
        <f t="shared" si="3"/>
        <v>360.74</v>
      </c>
      <c r="E19" s="45">
        <f t="shared" si="4"/>
        <v>464.48544302621553</v>
      </c>
      <c r="F19" s="82"/>
      <c r="G19" s="47">
        <f t="shared" si="5"/>
        <v>464.48544302621553</v>
      </c>
      <c r="H19" s="57">
        <f t="shared" si="6"/>
        <v>167558.478717277</v>
      </c>
      <c r="I19" s="58"/>
      <c r="J19" s="58">
        <f t="shared" si="7"/>
        <v>0</v>
      </c>
      <c r="K19" s="58">
        <f t="shared" si="8"/>
        <v>0</v>
      </c>
      <c r="L19" s="59">
        <f t="shared" si="9"/>
        <v>167558.478717277</v>
      </c>
      <c r="M19" s="13">
        <f t="shared" si="10"/>
        <v>2786912.6581572932</v>
      </c>
      <c r="N19" s="13">
        <f t="shared" si="11"/>
        <v>1005350872.3036619</v>
      </c>
      <c r="O19" s="72">
        <f t="shared" si="12"/>
        <v>0</v>
      </c>
      <c r="P19" s="13">
        <v>166666.66666666666</v>
      </c>
      <c r="Q19" s="72">
        <f t="shared" si="13"/>
        <v>891.81205061034416</v>
      </c>
      <c r="R19" s="13">
        <f>VLOOKUP(A19,'IDI 18MARZO'!B:D,3,0)</f>
        <v>360.74</v>
      </c>
      <c r="S19" s="72">
        <f t="shared" si="14"/>
        <v>0</v>
      </c>
    </row>
    <row r="20" spans="1:19" x14ac:dyDescent="0.25">
      <c r="A20" s="88">
        <v>43885</v>
      </c>
      <c r="B20" s="84">
        <v>15</v>
      </c>
      <c r="C20" s="73">
        <f t="shared" si="2"/>
        <v>1.6666666666666666E-2</v>
      </c>
      <c r="D20" s="13">
        <f t="shared" si="3"/>
        <v>360.74</v>
      </c>
      <c r="E20" s="45">
        <f t="shared" si="4"/>
        <v>464.48544302621553</v>
      </c>
      <c r="F20" s="82"/>
      <c r="G20" s="47">
        <f t="shared" si="5"/>
        <v>464.48544302621553</v>
      </c>
      <c r="H20" s="57">
        <f t="shared" si="6"/>
        <v>167558.478717277</v>
      </c>
      <c r="I20" s="58"/>
      <c r="J20" s="58">
        <f t="shared" si="7"/>
        <v>0</v>
      </c>
      <c r="K20" s="58">
        <f t="shared" si="8"/>
        <v>0</v>
      </c>
      <c r="L20" s="59">
        <f t="shared" si="9"/>
        <v>167558.478717277</v>
      </c>
      <c r="M20" s="13">
        <f t="shared" si="10"/>
        <v>2786912.6581572932</v>
      </c>
      <c r="N20" s="13">
        <f t="shared" si="11"/>
        <v>1005350872.3036619</v>
      </c>
      <c r="O20" s="72">
        <f t="shared" si="12"/>
        <v>0</v>
      </c>
      <c r="P20" s="13">
        <v>166666.66666666666</v>
      </c>
      <c r="Q20" s="72">
        <f t="shared" si="13"/>
        <v>891.81205061034416</v>
      </c>
      <c r="R20" s="13">
        <f>VLOOKUP(A20,'IDI 18MARZO'!B:D,3,0)</f>
        <v>360.74</v>
      </c>
      <c r="S20" s="72">
        <f t="shared" si="14"/>
        <v>0</v>
      </c>
    </row>
    <row r="21" spans="1:19" x14ac:dyDescent="0.25">
      <c r="A21" s="88">
        <v>43886</v>
      </c>
      <c r="B21" s="84">
        <v>15</v>
      </c>
      <c r="C21" s="73">
        <f t="shared" si="2"/>
        <v>1.6666666666666666E-2</v>
      </c>
      <c r="D21" s="13">
        <f t="shared" si="3"/>
        <v>360.74</v>
      </c>
      <c r="E21" s="45">
        <f t="shared" si="4"/>
        <v>464.48544302621553</v>
      </c>
      <c r="F21" s="82"/>
      <c r="G21" s="47">
        <f t="shared" si="5"/>
        <v>464.48544302621553</v>
      </c>
      <c r="H21" s="57">
        <f t="shared" si="6"/>
        <v>167558.478717277</v>
      </c>
      <c r="I21" s="58"/>
      <c r="J21" s="58">
        <f t="shared" si="7"/>
        <v>0</v>
      </c>
      <c r="K21" s="58">
        <f t="shared" si="8"/>
        <v>0</v>
      </c>
      <c r="L21" s="59">
        <f t="shared" si="9"/>
        <v>167558.478717277</v>
      </c>
      <c r="M21" s="13">
        <f t="shared" si="10"/>
        <v>2786912.6581572932</v>
      </c>
      <c r="N21" s="13">
        <f t="shared" si="11"/>
        <v>1005350872.3036619</v>
      </c>
      <c r="O21" s="72">
        <f t="shared" si="12"/>
        <v>0</v>
      </c>
      <c r="P21" s="13">
        <v>166666.66666666666</v>
      </c>
      <c r="Q21" s="72">
        <f t="shared" si="13"/>
        <v>891.81205061034416</v>
      </c>
      <c r="R21" s="13">
        <f>VLOOKUP(A21,'IDI 18MARZO'!B:D,3,0)</f>
        <v>360.74</v>
      </c>
      <c r="S21" s="72">
        <f t="shared" si="14"/>
        <v>0</v>
      </c>
    </row>
    <row r="22" spans="1:19" x14ac:dyDescent="0.25">
      <c r="A22" s="88">
        <v>43887</v>
      </c>
      <c r="B22" s="84">
        <v>10</v>
      </c>
      <c r="C22" s="73">
        <f t="shared" si="2"/>
        <v>1.6666666666666666E-2</v>
      </c>
      <c r="D22" s="13">
        <f t="shared" si="3"/>
        <v>358.82</v>
      </c>
      <c r="E22" s="45">
        <f t="shared" si="4"/>
        <v>464.48544302621553</v>
      </c>
      <c r="F22" s="82"/>
      <c r="G22" s="47">
        <f t="shared" si="5"/>
        <v>464.48544302621553</v>
      </c>
      <c r="H22" s="57">
        <f t="shared" si="6"/>
        <v>166666.66666666666</v>
      </c>
      <c r="I22" s="58"/>
      <c r="J22" s="58">
        <f t="shared" si="7"/>
        <v>0</v>
      </c>
      <c r="K22" s="58">
        <f t="shared" si="8"/>
        <v>0</v>
      </c>
      <c r="L22" s="59">
        <f t="shared" si="9"/>
        <v>166666.66666666666</v>
      </c>
      <c r="M22" s="13">
        <f t="shared" si="10"/>
        <v>2786912.6581572932</v>
      </c>
      <c r="N22" s="13">
        <f t="shared" si="11"/>
        <v>999999999.99999988</v>
      </c>
      <c r="O22" s="72">
        <f t="shared" si="12"/>
        <v>-5350872.3036620617</v>
      </c>
      <c r="P22" s="13">
        <v>166666.66666666666</v>
      </c>
      <c r="Q22" s="72">
        <f t="shared" si="13"/>
        <v>0</v>
      </c>
      <c r="R22" s="13">
        <f>VLOOKUP(A22,'IDI 18MARZO'!B:D,3,0)</f>
        <v>358.61</v>
      </c>
      <c r="S22" s="72">
        <f t="shared" si="14"/>
        <v>-2.1299999999999955</v>
      </c>
    </row>
    <row r="23" spans="1:19" x14ac:dyDescent="0.25">
      <c r="A23" s="88">
        <v>43888</v>
      </c>
      <c r="B23" s="84">
        <v>10</v>
      </c>
      <c r="C23" s="73">
        <f t="shared" si="2"/>
        <v>1.6666666666666666E-2</v>
      </c>
      <c r="D23" s="13">
        <f t="shared" si="3"/>
        <v>359.84</v>
      </c>
      <c r="E23" s="45">
        <f t="shared" si="4"/>
        <v>464.48544302621553</v>
      </c>
      <c r="F23" s="82"/>
      <c r="G23" s="47">
        <f t="shared" si="5"/>
        <v>464.48544302621553</v>
      </c>
      <c r="H23" s="57">
        <f t="shared" si="6"/>
        <v>167140.44181855337</v>
      </c>
      <c r="I23" s="58"/>
      <c r="J23" s="58">
        <f t="shared" si="7"/>
        <v>0</v>
      </c>
      <c r="K23" s="58">
        <f t="shared" si="8"/>
        <v>0</v>
      </c>
      <c r="L23" s="59">
        <f t="shared" si="9"/>
        <v>167140.44181855337</v>
      </c>
      <c r="M23" s="13">
        <f t="shared" si="10"/>
        <v>2786912.6581572932</v>
      </c>
      <c r="N23" s="13">
        <f t="shared" si="11"/>
        <v>1002842650.9113203</v>
      </c>
      <c r="O23" s="72">
        <f t="shared" si="12"/>
        <v>2842650.9113204479</v>
      </c>
      <c r="P23" s="13">
        <v>166666.66666666666</v>
      </c>
      <c r="Q23" s="72">
        <f t="shared" si="13"/>
        <v>473.77515188671532</v>
      </c>
      <c r="R23" s="13">
        <f>VLOOKUP(A23,'IDI 18MARZO'!B:D,3,0)</f>
        <v>359.84</v>
      </c>
      <c r="S23" s="72">
        <f t="shared" si="14"/>
        <v>1.2299999999999613</v>
      </c>
    </row>
    <row r="24" spans="1:19" x14ac:dyDescent="0.25">
      <c r="A24" s="88">
        <v>43889</v>
      </c>
      <c r="B24" s="84">
        <v>10</v>
      </c>
      <c r="C24" s="73">
        <f t="shared" si="2"/>
        <v>1.6666666666666666E-2</v>
      </c>
      <c r="D24" s="13">
        <f t="shared" si="3"/>
        <v>360.08</v>
      </c>
      <c r="E24" s="45">
        <f t="shared" si="4"/>
        <v>464.48544302621553</v>
      </c>
      <c r="F24" s="82"/>
      <c r="G24" s="47">
        <f t="shared" si="5"/>
        <v>464.48544302621553</v>
      </c>
      <c r="H24" s="57">
        <f t="shared" si="6"/>
        <v>167251.91832487969</v>
      </c>
      <c r="I24" s="58"/>
      <c r="J24" s="58">
        <f t="shared" si="7"/>
        <v>0</v>
      </c>
      <c r="K24" s="58">
        <f t="shared" si="8"/>
        <v>0</v>
      </c>
      <c r="L24" s="59">
        <f t="shared" si="9"/>
        <v>167251.91832487969</v>
      </c>
      <c r="M24" s="13">
        <f t="shared" si="10"/>
        <v>2786912.6581572932</v>
      </c>
      <c r="N24" s="13">
        <f t="shared" si="11"/>
        <v>1003511509.9492781</v>
      </c>
      <c r="O24" s="72">
        <f t="shared" si="12"/>
        <v>668859.03795778751</v>
      </c>
      <c r="P24" s="13">
        <v>166666.66666666666</v>
      </c>
      <c r="Q24" s="72">
        <f t="shared" si="13"/>
        <v>585.25165821303381</v>
      </c>
      <c r="R24" s="13">
        <f>VLOOKUP(A24,'IDI 18MARZO'!B:D,3,0)</f>
        <v>360.08</v>
      </c>
      <c r="S24" s="72">
        <f t="shared" si="14"/>
        <v>0.24000000000000909</v>
      </c>
    </row>
    <row r="25" spans="1:19" x14ac:dyDescent="0.25">
      <c r="A25" s="88">
        <v>43890</v>
      </c>
      <c r="B25" s="84">
        <v>10</v>
      </c>
      <c r="C25" s="73">
        <f t="shared" si="2"/>
        <v>1.6666666666666666E-2</v>
      </c>
      <c r="D25" s="13">
        <f t="shared" si="3"/>
        <v>360.08</v>
      </c>
      <c r="E25" s="45">
        <f t="shared" si="4"/>
        <v>464.48544302621553</v>
      </c>
      <c r="F25" s="82"/>
      <c r="G25" s="47">
        <f t="shared" si="5"/>
        <v>464.48544302621553</v>
      </c>
      <c r="H25" s="57">
        <f t="shared" si="6"/>
        <v>167251.91832487969</v>
      </c>
      <c r="I25" s="58"/>
      <c r="J25" s="58">
        <f t="shared" si="7"/>
        <v>0</v>
      </c>
      <c r="K25" s="58">
        <f t="shared" si="8"/>
        <v>0</v>
      </c>
      <c r="L25" s="59">
        <f t="shared" si="9"/>
        <v>167251.91832487969</v>
      </c>
      <c r="M25" s="13">
        <f t="shared" si="10"/>
        <v>2786912.6581572932</v>
      </c>
      <c r="N25" s="13">
        <f t="shared" si="11"/>
        <v>1003511509.9492781</v>
      </c>
      <c r="O25" s="72">
        <f t="shared" si="12"/>
        <v>0</v>
      </c>
      <c r="P25" s="13">
        <v>166666.66666666666</v>
      </c>
      <c r="Q25" s="72">
        <f t="shared" si="13"/>
        <v>585.25165821303381</v>
      </c>
      <c r="R25" s="13">
        <f>VLOOKUP(A25,'IDI 18MARZO'!B:D,3,0)</f>
        <v>360.08</v>
      </c>
      <c r="S25" s="72">
        <f t="shared" si="14"/>
        <v>0</v>
      </c>
    </row>
    <row r="26" spans="1:19" x14ac:dyDescent="0.25">
      <c r="A26" s="88">
        <v>43891</v>
      </c>
      <c r="B26" s="84">
        <v>10</v>
      </c>
      <c r="C26" s="73">
        <f t="shared" si="2"/>
        <v>1.6666666666666666E-2</v>
      </c>
      <c r="D26" s="13">
        <f t="shared" si="3"/>
        <v>360.08</v>
      </c>
      <c r="E26" s="45">
        <f t="shared" si="4"/>
        <v>464.48544302621553</v>
      </c>
      <c r="F26" s="82"/>
      <c r="G26" s="47">
        <f t="shared" si="5"/>
        <v>464.48544302621553</v>
      </c>
      <c r="H26" s="57">
        <f t="shared" si="6"/>
        <v>167251.91832487969</v>
      </c>
      <c r="I26" s="58"/>
      <c r="J26" s="58">
        <f t="shared" si="7"/>
        <v>0</v>
      </c>
      <c r="K26" s="58">
        <f t="shared" si="8"/>
        <v>0</v>
      </c>
      <c r="L26" s="59">
        <f t="shared" si="9"/>
        <v>167251.91832487969</v>
      </c>
      <c r="M26" s="13">
        <f t="shared" si="10"/>
        <v>2786912.6581572932</v>
      </c>
      <c r="N26" s="13">
        <f t="shared" si="11"/>
        <v>1003511509.9492781</v>
      </c>
      <c r="O26" s="72">
        <f t="shared" si="12"/>
        <v>0</v>
      </c>
      <c r="P26" s="13">
        <v>166666.66666666666</v>
      </c>
      <c r="Q26" s="72">
        <f t="shared" si="13"/>
        <v>585.25165821303381</v>
      </c>
      <c r="R26" s="13">
        <f>VLOOKUP(A26,'IDI 18MARZO'!B:D,3,0)</f>
        <v>360.08</v>
      </c>
      <c r="S26" s="72">
        <f t="shared" si="14"/>
        <v>0</v>
      </c>
    </row>
    <row r="27" spans="1:19" x14ac:dyDescent="0.25">
      <c r="A27" s="88">
        <v>43892</v>
      </c>
      <c r="B27" s="84">
        <v>10</v>
      </c>
      <c r="C27" s="73">
        <f t="shared" si="2"/>
        <v>1.6666666666666666E-2</v>
      </c>
      <c r="D27" s="13">
        <f t="shared" si="3"/>
        <v>362.23</v>
      </c>
      <c r="E27" s="45">
        <f t="shared" si="4"/>
        <v>464.48544302621553</v>
      </c>
      <c r="F27" s="82"/>
      <c r="G27" s="47">
        <f t="shared" si="5"/>
        <v>464.48544302621553</v>
      </c>
      <c r="H27" s="57">
        <f t="shared" si="6"/>
        <v>168250.56202738607</v>
      </c>
      <c r="I27" s="58"/>
      <c r="J27" s="58">
        <f t="shared" si="7"/>
        <v>0</v>
      </c>
      <c r="K27" s="58">
        <f t="shared" si="8"/>
        <v>0</v>
      </c>
      <c r="L27" s="59">
        <f t="shared" si="9"/>
        <v>168250.56202738607</v>
      </c>
      <c r="M27" s="13">
        <f t="shared" si="10"/>
        <v>2786912.6581572932</v>
      </c>
      <c r="N27" s="13">
        <f t="shared" si="11"/>
        <v>1009503372.1643164</v>
      </c>
      <c r="O27" s="72">
        <f t="shared" si="12"/>
        <v>5991862.2150382996</v>
      </c>
      <c r="P27" s="13">
        <v>166666.66666666666</v>
      </c>
      <c r="Q27" s="72">
        <f t="shared" si="13"/>
        <v>1583.8953607194126</v>
      </c>
      <c r="R27" s="13">
        <f>VLOOKUP(A27,'IDI 18MARZO'!B:D,3,0)</f>
        <v>362.23</v>
      </c>
      <c r="S27" s="72">
        <f t="shared" si="14"/>
        <v>2.1500000000000341</v>
      </c>
    </row>
    <row r="28" spans="1:19" x14ac:dyDescent="0.25">
      <c r="A28" s="88">
        <v>43893</v>
      </c>
      <c r="B28" s="84">
        <v>10</v>
      </c>
      <c r="C28" s="73">
        <f t="shared" si="2"/>
        <v>1.6666666666666666E-2</v>
      </c>
      <c r="D28" s="13">
        <f t="shared" si="3"/>
        <v>361.72</v>
      </c>
      <c r="E28" s="45">
        <f t="shared" si="4"/>
        <v>464.48544302621553</v>
      </c>
      <c r="F28" s="82"/>
      <c r="G28" s="47">
        <f t="shared" si="5"/>
        <v>464.48544302621553</v>
      </c>
      <c r="H28" s="57">
        <f t="shared" si="6"/>
        <v>168013.6744514427</v>
      </c>
      <c r="I28" s="58"/>
      <c r="J28" s="58">
        <f t="shared" si="7"/>
        <v>0</v>
      </c>
      <c r="K28" s="58">
        <f t="shared" si="8"/>
        <v>0</v>
      </c>
      <c r="L28" s="59">
        <f t="shared" si="9"/>
        <v>168013.6744514427</v>
      </c>
      <c r="M28" s="13">
        <f t="shared" si="10"/>
        <v>2786912.6581572932</v>
      </c>
      <c r="N28" s="13">
        <f t="shared" si="11"/>
        <v>1008082046.7086562</v>
      </c>
      <c r="O28" s="72">
        <f t="shared" si="12"/>
        <v>-1421325.455660224</v>
      </c>
      <c r="P28" s="13">
        <v>166666.66666666666</v>
      </c>
      <c r="Q28" s="72">
        <f t="shared" si="13"/>
        <v>1347.0077847760404</v>
      </c>
      <c r="R28" s="13">
        <f>VLOOKUP(A28,'IDI 18MARZO'!B:D,3,0)</f>
        <v>361.72</v>
      </c>
      <c r="S28" s="72">
        <f t="shared" si="14"/>
        <v>-0.50999999999999091</v>
      </c>
    </row>
    <row r="29" spans="1:19" x14ac:dyDescent="0.25">
      <c r="A29" s="88">
        <v>43894</v>
      </c>
      <c r="B29" s="84">
        <v>10</v>
      </c>
      <c r="C29" s="73">
        <f t="shared" si="2"/>
        <v>1.6666666666666666E-2</v>
      </c>
      <c r="D29" s="13">
        <f t="shared" si="3"/>
        <v>360.95</v>
      </c>
      <c r="E29" s="45">
        <f t="shared" si="4"/>
        <v>464.48544302621553</v>
      </c>
      <c r="F29" s="82"/>
      <c r="G29" s="47">
        <f t="shared" si="5"/>
        <v>464.48544302621553</v>
      </c>
      <c r="H29" s="57">
        <f t="shared" si="6"/>
        <v>167656.0206603125</v>
      </c>
      <c r="I29" s="58"/>
      <c r="J29" s="58">
        <f t="shared" si="7"/>
        <v>0</v>
      </c>
      <c r="K29" s="58">
        <f t="shared" si="8"/>
        <v>0</v>
      </c>
      <c r="L29" s="59">
        <f t="shared" si="9"/>
        <v>167656.0206603125</v>
      </c>
      <c r="M29" s="13">
        <f t="shared" si="10"/>
        <v>2786912.6581572932</v>
      </c>
      <c r="N29" s="13">
        <f t="shared" si="11"/>
        <v>1005936123.961875</v>
      </c>
      <c r="O29" s="72">
        <f t="shared" si="12"/>
        <v>-2145922.74678123</v>
      </c>
      <c r="P29" s="13">
        <v>166666.66666666666</v>
      </c>
      <c r="Q29" s="72">
        <f t="shared" si="13"/>
        <v>989.35399364584009</v>
      </c>
      <c r="R29" s="13">
        <f>VLOOKUP(A29,'IDI 18MARZO'!B:D,3,0)</f>
        <v>360.95</v>
      </c>
      <c r="S29" s="72">
        <f t="shared" si="14"/>
        <v>-0.77000000000003865</v>
      </c>
    </row>
    <row r="30" spans="1:19" x14ac:dyDescent="0.25">
      <c r="A30" s="88">
        <v>43895</v>
      </c>
      <c r="B30" s="84">
        <v>10</v>
      </c>
      <c r="C30" s="73">
        <f t="shared" si="2"/>
        <v>1.6666666666666666E-2</v>
      </c>
      <c r="D30" s="13">
        <f t="shared" si="3"/>
        <v>360.09</v>
      </c>
      <c r="E30" s="45">
        <f t="shared" si="4"/>
        <v>464.48544302621553</v>
      </c>
      <c r="F30" s="82"/>
      <c r="G30" s="47">
        <f t="shared" si="5"/>
        <v>464.48544302621553</v>
      </c>
      <c r="H30" s="57">
        <f t="shared" si="6"/>
        <v>167256.56317930995</v>
      </c>
      <c r="I30" s="58"/>
      <c r="J30" s="58">
        <f t="shared" si="7"/>
        <v>0</v>
      </c>
      <c r="K30" s="58">
        <f t="shared" si="8"/>
        <v>0</v>
      </c>
      <c r="L30" s="59">
        <f t="shared" si="9"/>
        <v>167256.56317930995</v>
      </c>
      <c r="M30" s="13">
        <f t="shared" si="10"/>
        <v>2786912.6581572932</v>
      </c>
      <c r="N30" s="13">
        <f t="shared" si="11"/>
        <v>1003539379.0758597</v>
      </c>
      <c r="O30" s="72">
        <f t="shared" si="12"/>
        <v>-2396744.886015296</v>
      </c>
      <c r="P30" s="13">
        <v>166666.66666666666</v>
      </c>
      <c r="Q30" s="72">
        <f t="shared" si="13"/>
        <v>589.89651264328859</v>
      </c>
      <c r="R30" s="13">
        <f>VLOOKUP(A30,'IDI 18MARZO'!B:D,3,0)</f>
        <v>360.09</v>
      </c>
      <c r="S30" s="72">
        <f t="shared" si="14"/>
        <v>-0.86000000000001364</v>
      </c>
    </row>
    <row r="31" spans="1:19" x14ac:dyDescent="0.25">
      <c r="A31" s="88">
        <v>43896</v>
      </c>
      <c r="B31" s="84">
        <v>10</v>
      </c>
      <c r="C31" s="73">
        <f t="shared" si="2"/>
        <v>1.6666666666666666E-2</v>
      </c>
      <c r="D31" s="13">
        <f t="shared" si="3"/>
        <v>358.82</v>
      </c>
      <c r="E31" s="45">
        <f t="shared" si="4"/>
        <v>464.48544302621553</v>
      </c>
      <c r="F31" s="82"/>
      <c r="G31" s="47">
        <f t="shared" si="5"/>
        <v>464.48544302621553</v>
      </c>
      <c r="H31" s="57">
        <f t="shared" si="6"/>
        <v>166666.66666666666</v>
      </c>
      <c r="I31" s="58"/>
      <c r="J31" s="58">
        <f t="shared" si="7"/>
        <v>0</v>
      </c>
      <c r="K31" s="58">
        <f t="shared" si="8"/>
        <v>0</v>
      </c>
      <c r="L31" s="59">
        <f t="shared" si="9"/>
        <v>166666.66666666666</v>
      </c>
      <c r="M31" s="13">
        <f t="shared" si="10"/>
        <v>2786912.6581572932</v>
      </c>
      <c r="N31" s="13">
        <f t="shared" si="11"/>
        <v>999999999.99999988</v>
      </c>
      <c r="O31" s="72">
        <f t="shared" si="12"/>
        <v>-3539379.0758597851</v>
      </c>
      <c r="P31" s="13">
        <v>166666.66666666666</v>
      </c>
      <c r="Q31" s="72">
        <f t="shared" si="13"/>
        <v>0</v>
      </c>
      <c r="R31" s="13">
        <f>VLOOKUP(A31,'IDI 18MARZO'!B:D,3,0)</f>
        <v>357.84</v>
      </c>
      <c r="S31" s="72">
        <f t="shared" si="14"/>
        <v>-2.25</v>
      </c>
    </row>
    <row r="32" spans="1:19" x14ac:dyDescent="0.25">
      <c r="A32" s="88">
        <v>43897</v>
      </c>
      <c r="B32" s="84">
        <v>10</v>
      </c>
      <c r="C32" s="73">
        <f t="shared" si="2"/>
        <v>1.6666666666666666E-2</v>
      </c>
      <c r="D32" s="13">
        <f t="shared" si="3"/>
        <v>358.82</v>
      </c>
      <c r="E32" s="45">
        <f t="shared" si="4"/>
        <v>464.48544302621553</v>
      </c>
      <c r="F32" s="82"/>
      <c r="G32" s="47">
        <f t="shared" si="5"/>
        <v>464.48544302621553</v>
      </c>
      <c r="H32" s="57">
        <f t="shared" si="6"/>
        <v>166666.66666666666</v>
      </c>
      <c r="I32" s="58"/>
      <c r="J32" s="58">
        <f t="shared" si="7"/>
        <v>0</v>
      </c>
      <c r="K32" s="58">
        <f t="shared" si="8"/>
        <v>0</v>
      </c>
      <c r="L32" s="59">
        <f t="shared" si="9"/>
        <v>166666.66666666666</v>
      </c>
      <c r="M32" s="13">
        <f t="shared" si="10"/>
        <v>2786912.6581572932</v>
      </c>
      <c r="N32" s="13">
        <f t="shared" si="11"/>
        <v>999999999.99999988</v>
      </c>
      <c r="O32" s="72">
        <f t="shared" si="12"/>
        <v>0</v>
      </c>
      <c r="P32" s="13">
        <v>166666.66666666666</v>
      </c>
      <c r="Q32" s="72">
        <f t="shared" si="13"/>
        <v>0</v>
      </c>
      <c r="R32" s="13">
        <f>VLOOKUP(A32,'IDI 18MARZO'!B:D,3,0)</f>
        <v>357.84</v>
      </c>
      <c r="S32" s="72">
        <f t="shared" si="14"/>
        <v>0</v>
      </c>
    </row>
    <row r="33" spans="1:19" x14ac:dyDescent="0.25">
      <c r="A33" s="88">
        <v>43898</v>
      </c>
      <c r="B33" s="84">
        <v>10</v>
      </c>
      <c r="C33" s="73">
        <f t="shared" si="2"/>
        <v>1.6666666666666666E-2</v>
      </c>
      <c r="D33" s="13">
        <f t="shared" si="3"/>
        <v>358.82</v>
      </c>
      <c r="E33" s="45">
        <f t="shared" si="4"/>
        <v>464.48544302621553</v>
      </c>
      <c r="F33" s="82"/>
      <c r="G33" s="47">
        <f t="shared" si="5"/>
        <v>464.48544302621553</v>
      </c>
      <c r="H33" s="57">
        <f t="shared" si="6"/>
        <v>166666.66666666666</v>
      </c>
      <c r="I33" s="58"/>
      <c r="J33" s="58">
        <f t="shared" si="7"/>
        <v>0</v>
      </c>
      <c r="K33" s="58">
        <f t="shared" si="8"/>
        <v>0</v>
      </c>
      <c r="L33" s="59">
        <f t="shared" si="9"/>
        <v>166666.66666666666</v>
      </c>
      <c r="M33" s="13">
        <f t="shared" si="10"/>
        <v>2786912.6581572932</v>
      </c>
      <c r="N33" s="13">
        <f t="shared" si="11"/>
        <v>999999999.99999988</v>
      </c>
      <c r="O33" s="72">
        <f t="shared" si="12"/>
        <v>0</v>
      </c>
      <c r="P33" s="13">
        <v>166666.66666666666</v>
      </c>
      <c r="Q33" s="72">
        <f t="shared" si="13"/>
        <v>0</v>
      </c>
      <c r="R33" s="13">
        <f>VLOOKUP(A33,'IDI 18MARZO'!B:D,3,0)</f>
        <v>357.84</v>
      </c>
      <c r="S33" s="72">
        <f t="shared" si="14"/>
        <v>0</v>
      </c>
    </row>
    <row r="34" spans="1:19" x14ac:dyDescent="0.25">
      <c r="A34" s="88">
        <v>43899</v>
      </c>
      <c r="B34" s="84">
        <v>10</v>
      </c>
      <c r="C34" s="73">
        <f t="shared" si="2"/>
        <v>1.6666666666666666E-2</v>
      </c>
      <c r="D34" s="13">
        <f t="shared" si="3"/>
        <v>358.82</v>
      </c>
      <c r="E34" s="45">
        <f t="shared" si="4"/>
        <v>464.48544302621553</v>
      </c>
      <c r="F34" s="82"/>
      <c r="G34" s="47">
        <f t="shared" si="5"/>
        <v>464.48544302621553</v>
      </c>
      <c r="H34" s="57">
        <f t="shared" si="6"/>
        <v>166666.66666666666</v>
      </c>
      <c r="I34" s="58"/>
      <c r="J34" s="58">
        <f t="shared" si="7"/>
        <v>0</v>
      </c>
      <c r="K34" s="58">
        <f t="shared" si="8"/>
        <v>0</v>
      </c>
      <c r="L34" s="59">
        <f t="shared" si="9"/>
        <v>166666.66666666666</v>
      </c>
      <c r="M34" s="13">
        <f t="shared" si="10"/>
        <v>2786912.6581572932</v>
      </c>
      <c r="N34" s="13">
        <f t="shared" si="11"/>
        <v>999999999.99999988</v>
      </c>
      <c r="O34" s="72">
        <f t="shared" si="12"/>
        <v>0</v>
      </c>
      <c r="P34" s="13">
        <v>166666.66666666666</v>
      </c>
      <c r="Q34" s="72">
        <f t="shared" si="13"/>
        <v>0</v>
      </c>
      <c r="R34" s="13">
        <f>VLOOKUP(A34,'IDI 18MARZO'!B:D,3,0)</f>
        <v>357.99</v>
      </c>
      <c r="S34" s="72">
        <f t="shared" si="14"/>
        <v>0.15000000000003411</v>
      </c>
    </row>
    <row r="35" spans="1:19" x14ac:dyDescent="0.25">
      <c r="A35" s="88">
        <v>43900</v>
      </c>
      <c r="B35" s="84">
        <v>10</v>
      </c>
      <c r="C35" s="73">
        <f t="shared" si="2"/>
        <v>1.6666666666666666E-2</v>
      </c>
      <c r="D35" s="13">
        <f t="shared" si="3"/>
        <v>358.82</v>
      </c>
      <c r="E35" s="45">
        <f t="shared" si="4"/>
        <v>464.48544302621553</v>
      </c>
      <c r="F35" s="82"/>
      <c r="G35" s="47">
        <f t="shared" si="5"/>
        <v>464.48544302621553</v>
      </c>
      <c r="H35" s="57">
        <f t="shared" si="6"/>
        <v>166666.66666666666</v>
      </c>
      <c r="I35" s="58"/>
      <c r="J35" s="58">
        <f t="shared" si="7"/>
        <v>0</v>
      </c>
      <c r="K35" s="58">
        <f t="shared" si="8"/>
        <v>0</v>
      </c>
      <c r="L35" s="59">
        <f t="shared" si="9"/>
        <v>166666.66666666666</v>
      </c>
      <c r="M35" s="13">
        <f t="shared" si="10"/>
        <v>2786912.6581572932</v>
      </c>
      <c r="N35" s="13">
        <f t="shared" si="11"/>
        <v>999999999.99999988</v>
      </c>
      <c r="O35" s="72">
        <f t="shared" si="12"/>
        <v>0</v>
      </c>
      <c r="P35" s="13">
        <v>166666.66666666666</v>
      </c>
      <c r="Q35" s="72">
        <f t="shared" si="13"/>
        <v>0</v>
      </c>
      <c r="R35" s="13">
        <f>VLOOKUP(A35,'IDI 18MARZO'!B:D,3,0)</f>
        <v>358.14</v>
      </c>
      <c r="S35" s="72">
        <f t="shared" si="14"/>
        <v>0.14999999999997726</v>
      </c>
    </row>
    <row r="36" spans="1:19" x14ac:dyDescent="0.25">
      <c r="A36" s="88">
        <v>43901</v>
      </c>
      <c r="B36" s="84">
        <v>10</v>
      </c>
      <c r="C36" s="73">
        <f t="shared" si="2"/>
        <v>1.6666666666666666E-2</v>
      </c>
      <c r="D36" s="13">
        <f t="shared" si="3"/>
        <v>358.82</v>
      </c>
      <c r="E36" s="45">
        <f t="shared" si="4"/>
        <v>464.48544302621553</v>
      </c>
      <c r="F36" s="82"/>
      <c r="G36" s="47">
        <f t="shared" si="5"/>
        <v>464.48544302621553</v>
      </c>
      <c r="H36" s="57">
        <f t="shared" si="6"/>
        <v>166666.66666666666</v>
      </c>
      <c r="I36" s="58"/>
      <c r="J36" s="58">
        <f t="shared" si="7"/>
        <v>0</v>
      </c>
      <c r="K36" s="58">
        <f t="shared" si="8"/>
        <v>0</v>
      </c>
      <c r="L36" s="59">
        <f t="shared" si="9"/>
        <v>166666.66666666666</v>
      </c>
      <c r="M36" s="13">
        <f t="shared" si="10"/>
        <v>2786912.6581572932</v>
      </c>
      <c r="N36" s="13">
        <f t="shared" si="11"/>
        <v>999999999.99999988</v>
      </c>
      <c r="O36" s="72">
        <f t="shared" si="12"/>
        <v>0</v>
      </c>
      <c r="P36" s="13">
        <v>166666.66666666666</v>
      </c>
      <c r="Q36" s="72">
        <f t="shared" si="13"/>
        <v>0</v>
      </c>
      <c r="R36" s="13">
        <f>VLOOKUP(A36,'IDI 18MARZO'!B:D,3,0)</f>
        <v>358.53</v>
      </c>
      <c r="S36" s="72">
        <f t="shared" si="14"/>
        <v>0.38999999999998636</v>
      </c>
    </row>
    <row r="37" spans="1:19" x14ac:dyDescent="0.25">
      <c r="A37" s="88">
        <v>43902</v>
      </c>
      <c r="B37" s="84">
        <v>10</v>
      </c>
      <c r="C37" s="73">
        <f t="shared" si="2"/>
        <v>1.6666666666666666E-2</v>
      </c>
      <c r="D37" s="13">
        <f t="shared" si="3"/>
        <v>360.07</v>
      </c>
      <c r="E37" s="45">
        <f t="shared" si="4"/>
        <v>464.48544302621553</v>
      </c>
      <c r="F37" s="82"/>
      <c r="G37" s="47">
        <f t="shared" si="5"/>
        <v>464.48544302621553</v>
      </c>
      <c r="H37" s="57">
        <f t="shared" si="6"/>
        <v>167247.27347044944</v>
      </c>
      <c r="I37" s="58"/>
      <c r="J37" s="58">
        <f t="shared" si="7"/>
        <v>0</v>
      </c>
      <c r="K37" s="58">
        <f t="shared" si="8"/>
        <v>0</v>
      </c>
      <c r="L37" s="59">
        <f t="shared" si="9"/>
        <v>167247.27347044944</v>
      </c>
      <c r="M37" s="13">
        <f t="shared" si="10"/>
        <v>2786912.6581572932</v>
      </c>
      <c r="N37" s="13">
        <f t="shared" si="11"/>
        <v>1003483640.8226966</v>
      </c>
      <c r="O37" s="72">
        <f t="shared" si="12"/>
        <v>3483640.8226966858</v>
      </c>
      <c r="P37" s="13">
        <v>166666.66666666666</v>
      </c>
      <c r="Q37" s="72">
        <f t="shared" si="13"/>
        <v>580.60680378277902</v>
      </c>
      <c r="R37" s="13">
        <f>VLOOKUP(A37,'IDI 18MARZO'!B:D,3,0)</f>
        <v>360.07</v>
      </c>
      <c r="S37" s="72">
        <f t="shared" si="14"/>
        <v>1.5400000000000205</v>
      </c>
    </row>
    <row r="38" spans="1:19" x14ac:dyDescent="0.25">
      <c r="A38" s="88">
        <v>43903</v>
      </c>
      <c r="B38" s="84">
        <v>10</v>
      </c>
      <c r="C38" s="73">
        <f t="shared" si="2"/>
        <v>1.6666666666666666E-2</v>
      </c>
      <c r="D38" s="13">
        <f t="shared" si="3"/>
        <v>360.26</v>
      </c>
      <c r="E38" s="45">
        <f t="shared" si="4"/>
        <v>464.48544302621553</v>
      </c>
      <c r="F38" s="82"/>
      <c r="G38" s="47">
        <f t="shared" si="5"/>
        <v>464.48544302621553</v>
      </c>
      <c r="H38" s="57">
        <f t="shared" si="6"/>
        <v>167335.52570462439</v>
      </c>
      <c r="I38" s="58"/>
      <c r="J38" s="58">
        <f t="shared" si="7"/>
        <v>0</v>
      </c>
      <c r="K38" s="58">
        <f t="shared" si="8"/>
        <v>0</v>
      </c>
      <c r="L38" s="59">
        <f t="shared" si="9"/>
        <v>167335.52570462439</v>
      </c>
      <c r="M38" s="13">
        <f t="shared" si="10"/>
        <v>2786912.6581572932</v>
      </c>
      <c r="N38" s="13">
        <f t="shared" si="11"/>
        <v>1004013154.2277465</v>
      </c>
      <c r="O38" s="72">
        <f t="shared" si="12"/>
        <v>529513.40504992008</v>
      </c>
      <c r="P38" s="13">
        <v>166666.66666666666</v>
      </c>
      <c r="Q38" s="72">
        <f t="shared" si="13"/>
        <v>668.85903795773629</v>
      </c>
      <c r="R38" s="13">
        <f>VLOOKUP(A38,'IDI 18MARZO'!B:D,3,0)</f>
        <v>360.26</v>
      </c>
      <c r="S38" s="72">
        <f t="shared" si="14"/>
        <v>0.18999999999999773</v>
      </c>
    </row>
    <row r="39" spans="1:19" x14ac:dyDescent="0.25">
      <c r="A39" s="88">
        <v>43904</v>
      </c>
      <c r="B39" s="84">
        <v>10</v>
      </c>
      <c r="C39" s="73">
        <f t="shared" si="2"/>
        <v>1.6666666666666666E-2</v>
      </c>
      <c r="D39" s="13">
        <f t="shared" si="3"/>
        <v>360.26</v>
      </c>
      <c r="E39" s="45">
        <f t="shared" si="4"/>
        <v>464.48544302621553</v>
      </c>
      <c r="F39" s="82"/>
      <c r="G39" s="47">
        <f t="shared" si="5"/>
        <v>464.48544302621553</v>
      </c>
      <c r="H39" s="57">
        <f t="shared" si="6"/>
        <v>167335.52570462439</v>
      </c>
      <c r="I39" s="58"/>
      <c r="J39" s="58">
        <f t="shared" si="7"/>
        <v>0</v>
      </c>
      <c r="K39" s="58">
        <f t="shared" si="8"/>
        <v>0</v>
      </c>
      <c r="L39" s="59">
        <f t="shared" si="9"/>
        <v>167335.52570462439</v>
      </c>
      <c r="M39" s="13">
        <f t="shared" si="10"/>
        <v>2786912.6581572932</v>
      </c>
      <c r="N39" s="13">
        <f t="shared" si="11"/>
        <v>1004013154.2277465</v>
      </c>
      <c r="O39" s="72">
        <f t="shared" si="12"/>
        <v>0</v>
      </c>
      <c r="P39" s="13">
        <v>166666.66666666666</v>
      </c>
      <c r="Q39" s="72">
        <f t="shared" si="13"/>
        <v>668.85903795773629</v>
      </c>
      <c r="R39" s="13">
        <f>VLOOKUP(A39,'IDI 18MARZO'!B:D,3,0)</f>
        <v>360.26</v>
      </c>
      <c r="S39" s="72">
        <f t="shared" si="14"/>
        <v>0</v>
      </c>
    </row>
    <row r="40" spans="1:19" x14ac:dyDescent="0.25">
      <c r="A40" s="88">
        <v>43905</v>
      </c>
      <c r="B40" s="84">
        <v>10</v>
      </c>
      <c r="C40" s="73">
        <f t="shared" si="2"/>
        <v>1.6666666666666666E-2</v>
      </c>
      <c r="D40" s="13">
        <f t="shared" si="3"/>
        <v>360.26</v>
      </c>
      <c r="E40" s="45">
        <f t="shared" si="4"/>
        <v>464.48544302621553</v>
      </c>
      <c r="F40" s="82"/>
      <c r="G40" s="47">
        <f t="shared" si="5"/>
        <v>464.48544302621553</v>
      </c>
      <c r="H40" s="57">
        <f t="shared" si="6"/>
        <v>167335.52570462439</v>
      </c>
      <c r="I40" s="58"/>
      <c r="J40" s="58">
        <f t="shared" si="7"/>
        <v>0</v>
      </c>
      <c r="K40" s="58">
        <f t="shared" si="8"/>
        <v>0</v>
      </c>
      <c r="L40" s="59">
        <f t="shared" si="9"/>
        <v>167335.52570462439</v>
      </c>
      <c r="M40" s="13">
        <f t="shared" si="10"/>
        <v>2786912.6581572932</v>
      </c>
      <c r="N40" s="13">
        <f t="shared" si="11"/>
        <v>1004013154.2277465</v>
      </c>
      <c r="O40" s="72">
        <f t="shared" si="12"/>
        <v>0</v>
      </c>
      <c r="P40" s="13">
        <v>166666.66666666666</v>
      </c>
      <c r="Q40" s="72">
        <f t="shared" si="13"/>
        <v>668.85903795773629</v>
      </c>
      <c r="R40" s="13">
        <f>VLOOKUP(A40,'IDI 18MARZO'!B:D,3,0)</f>
        <v>360.26</v>
      </c>
      <c r="S40" s="72">
        <f t="shared" si="14"/>
        <v>0</v>
      </c>
    </row>
    <row r="41" spans="1:19" x14ac:dyDescent="0.25">
      <c r="A41" s="88">
        <v>43906</v>
      </c>
      <c r="B41" s="84">
        <v>10</v>
      </c>
      <c r="C41" s="73">
        <f t="shared" si="2"/>
        <v>1.6666666666666666E-2</v>
      </c>
      <c r="D41" s="13">
        <f t="shared" si="3"/>
        <v>362.18</v>
      </c>
      <c r="E41" s="45">
        <f t="shared" si="4"/>
        <v>464.48544302621553</v>
      </c>
      <c r="F41" s="82"/>
      <c r="G41" s="47">
        <f t="shared" si="5"/>
        <v>464.48544302621553</v>
      </c>
      <c r="H41" s="57">
        <f t="shared" si="6"/>
        <v>168227.33775523474</v>
      </c>
      <c r="I41" s="58"/>
      <c r="J41" s="58">
        <f t="shared" si="7"/>
        <v>0</v>
      </c>
      <c r="K41" s="58">
        <f t="shared" si="8"/>
        <v>0</v>
      </c>
      <c r="L41" s="59">
        <f t="shared" si="9"/>
        <v>168227.33775523474</v>
      </c>
      <c r="M41" s="13">
        <f t="shared" si="10"/>
        <v>2786912.6581572932</v>
      </c>
      <c r="N41" s="13">
        <f t="shared" si="11"/>
        <v>1009364026.5314084</v>
      </c>
      <c r="O41" s="72">
        <f t="shared" si="12"/>
        <v>5350872.3036619425</v>
      </c>
      <c r="P41" s="13">
        <v>166666.66666666666</v>
      </c>
      <c r="Q41" s="72">
        <f t="shared" si="13"/>
        <v>1560.6710885680804</v>
      </c>
      <c r="R41" s="13">
        <f>VLOOKUP(A41,'IDI 18MARZO'!B:D,3,0)</f>
        <v>362.18</v>
      </c>
      <c r="S41" s="72">
        <f t="shared" si="14"/>
        <v>1.9200000000000159</v>
      </c>
    </row>
    <row r="42" spans="1:19" x14ac:dyDescent="0.25">
      <c r="A42" s="88">
        <v>43907</v>
      </c>
      <c r="B42" s="84">
        <v>10</v>
      </c>
      <c r="C42" s="73">
        <f t="shared" si="2"/>
        <v>1.6666666666666666E-2</v>
      </c>
      <c r="D42" s="13">
        <f t="shared" si="3"/>
        <v>362.5</v>
      </c>
      <c r="E42" s="45">
        <f t="shared" si="4"/>
        <v>464.48544302621553</v>
      </c>
      <c r="F42" s="82"/>
      <c r="G42" s="47">
        <f t="shared" si="5"/>
        <v>464.48544302621553</v>
      </c>
      <c r="H42" s="57">
        <f t="shared" si="6"/>
        <v>168375.97309700312</v>
      </c>
      <c r="I42" s="58"/>
      <c r="J42" s="58">
        <f t="shared" si="7"/>
        <v>0</v>
      </c>
      <c r="K42" s="58">
        <f t="shared" si="8"/>
        <v>0</v>
      </c>
      <c r="L42" s="59">
        <f t="shared" si="9"/>
        <v>168375.97309700312</v>
      </c>
      <c r="M42" s="13">
        <f t="shared" si="10"/>
        <v>2786912.6581572932</v>
      </c>
      <c r="N42" s="13">
        <f t="shared" si="11"/>
        <v>1010255838.5820187</v>
      </c>
      <c r="O42" s="72">
        <f t="shared" si="12"/>
        <v>891812.05061030388</v>
      </c>
      <c r="P42" s="13">
        <v>166666.66666666666</v>
      </c>
      <c r="Q42" s="72">
        <f t="shared" si="13"/>
        <v>1709.3064303364663</v>
      </c>
      <c r="R42" s="13">
        <f>VLOOKUP(A42,'IDI 18MARZO'!B:D,3,0)</f>
        <v>362.5</v>
      </c>
      <c r="S42" s="72">
        <f t="shared" si="14"/>
        <v>0.31999999999999318</v>
      </c>
    </row>
    <row r="43" spans="1:19" x14ac:dyDescent="0.25">
      <c r="A43" s="88">
        <v>43908</v>
      </c>
      <c r="B43" s="84">
        <v>10</v>
      </c>
      <c r="C43" s="73">
        <f t="shared" si="2"/>
        <v>1.6666666666666666E-2</v>
      </c>
      <c r="D43" s="13">
        <f t="shared" si="3"/>
        <v>361.82</v>
      </c>
      <c r="E43" s="45">
        <f t="shared" ref="E43" si="15">+M42*C43/100</f>
        <v>464.48544302621553</v>
      </c>
      <c r="F43" s="13">
        <f>+M13</f>
        <v>2786912.6581572932</v>
      </c>
      <c r="G43" s="47">
        <f t="shared" si="0"/>
        <v>2787377.1436003195</v>
      </c>
      <c r="H43" s="57">
        <f t="shared" ref="H43" si="16">+E43*D43</f>
        <v>168060.1229957453</v>
      </c>
      <c r="I43" s="58">
        <v>1000000000</v>
      </c>
      <c r="J43" s="86">
        <f>+F43*D43-I43</f>
        <v>8360737.9744718075</v>
      </c>
      <c r="K43" s="58">
        <f>+F43*D43</f>
        <v>1008360737.9744718</v>
      </c>
      <c r="L43" s="59">
        <f t="shared" si="1"/>
        <v>1008528798.0974675</v>
      </c>
      <c r="M43" s="13">
        <f t="shared" si="10"/>
        <v>0</v>
      </c>
      <c r="N43" s="13">
        <f t="shared" si="11"/>
        <v>0</v>
      </c>
      <c r="O43" s="86">
        <f>SUM(O14:O42)</f>
        <v>10255838.582018733</v>
      </c>
      <c r="P43" s="13">
        <v>166666.66666666666</v>
      </c>
      <c r="Q43" s="72">
        <f t="shared" si="13"/>
        <v>1393.4563290786464</v>
      </c>
      <c r="R43" s="13">
        <f>VLOOKUP(A43,'IDI 18MARZO'!B:D,3,0)</f>
        <v>361.82</v>
      </c>
      <c r="S43" s="72">
        <f t="shared" si="14"/>
        <v>-0.68000000000000682</v>
      </c>
    </row>
    <row r="44" spans="1:19" ht="15.75" thickBot="1" x14ac:dyDescent="0.3">
      <c r="A44" s="15"/>
      <c r="B44" s="15"/>
      <c r="C44" s="15"/>
      <c r="D44" s="16"/>
      <c r="E44" s="48">
        <f>+SUM(E14:E43)</f>
        <v>13934.56329078646</v>
      </c>
      <c r="F44" s="48">
        <f t="shared" ref="F44:N44" si="17">+SUM(F14:F43)</f>
        <v>2786912.6581572932</v>
      </c>
      <c r="G44" s="48">
        <f t="shared" si="17"/>
        <v>2800847.2214480797</v>
      </c>
      <c r="H44" s="48">
        <f t="shared" si="17"/>
        <v>5020316.5932779657</v>
      </c>
      <c r="I44" s="48">
        <f t="shared" si="17"/>
        <v>1000000000</v>
      </c>
      <c r="J44" s="48">
        <f t="shared" si="17"/>
        <v>8360737.9744718075</v>
      </c>
      <c r="K44" s="48">
        <f t="shared" si="17"/>
        <v>1008360737.9744718</v>
      </c>
      <c r="L44" s="48">
        <f t="shared" si="17"/>
        <v>1013381054.5677497</v>
      </c>
      <c r="M44" s="48">
        <f t="shared" si="17"/>
        <v>80820467.086561516</v>
      </c>
      <c r="N44" s="48">
        <f t="shared" si="17"/>
        <v>29113538821.693325</v>
      </c>
      <c r="O44" s="72"/>
      <c r="P44" s="13">
        <f>SUM(P14:P43)</f>
        <v>5000000</v>
      </c>
      <c r="Q44" s="72">
        <f>H44-P44</f>
        <v>20316.593277965672</v>
      </c>
    </row>
    <row r="45" spans="1:19" x14ac:dyDescent="0.25">
      <c r="D45" s="17"/>
      <c r="E45" s="18"/>
      <c r="H45" s="72"/>
      <c r="L45" s="72"/>
      <c r="N45" s="13"/>
      <c r="O45" s="72"/>
      <c r="P45" s="13"/>
      <c r="Q45" s="72"/>
    </row>
    <row r="46" spans="1:19" x14ac:dyDescent="0.25">
      <c r="F46" s="17"/>
      <c r="H46" s="13"/>
      <c r="I46" s="13"/>
      <c r="J46" s="13"/>
      <c r="N46" s="72"/>
      <c r="O46" s="93">
        <f>O43-J43</f>
        <v>1895100.6075469255</v>
      </c>
      <c r="Q46" s="72"/>
    </row>
    <row r="47" spans="1:19" x14ac:dyDescent="0.25">
      <c r="F47" s="83"/>
      <c r="O47" s="72"/>
      <c r="Q47" s="72"/>
    </row>
    <row r="48" spans="1:19" x14ac:dyDescent="0.25">
      <c r="F48" s="83"/>
      <c r="O48" s="72"/>
      <c r="Q48" s="72"/>
    </row>
    <row r="49" spans="3:17" x14ac:dyDescent="0.25">
      <c r="F49" s="83"/>
      <c r="O49" s="72"/>
      <c r="Q49" s="72"/>
    </row>
    <row r="50" spans="3:17" x14ac:dyDescent="0.25">
      <c r="F50" s="83"/>
      <c r="O50" s="72"/>
      <c r="Q50" s="72"/>
    </row>
    <row r="51" spans="3:17" x14ac:dyDescent="0.25">
      <c r="C51" s="19"/>
      <c r="F51" s="83"/>
      <c r="O51" s="72"/>
      <c r="Q51" s="72"/>
    </row>
    <row r="52" spans="3:17" x14ac:dyDescent="0.25">
      <c r="F52" s="83"/>
    </row>
    <row r="53" spans="3:17" x14ac:dyDescent="0.25">
      <c r="F53" s="83"/>
    </row>
    <row r="54" spans="3:17" x14ac:dyDescent="0.25">
      <c r="F54" s="83"/>
    </row>
    <row r="55" spans="3:17" x14ac:dyDescent="0.25">
      <c r="F55" s="83"/>
    </row>
  </sheetData>
  <sheetProtection algorithmName="SHA-512" hashValue="1KCR9Km9iiHvu30cZuyow6xPkhDffYov/0TQrUeoHip9dhxcZss168gy40sAofWUJyjgTuBicEHKGNUd+9wrTA==" saltValue="Zet4ZhMeSFzs1jdNnWm7iw==" spinCount="100000" sheet="1" objects="1" scenarios="1"/>
  <mergeCells count="3">
    <mergeCell ref="E10:G10"/>
    <mergeCell ref="H10:L10"/>
    <mergeCell ref="I11:K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A25" zoomScale="86" zoomScaleNormal="86" workbookViewId="0">
      <selection activeCell="C7" sqref="C7"/>
    </sheetView>
  </sheetViews>
  <sheetFormatPr baseColWidth="10" defaultRowHeight="15" x14ac:dyDescent="0.25"/>
  <cols>
    <col min="1" max="1" width="21.85546875" bestFit="1" customWidth="1"/>
    <col min="2" max="2" width="19.28515625" hidden="1" customWidth="1"/>
    <col min="3" max="3" width="20.42578125" bestFit="1" customWidth="1"/>
    <col min="4" max="4" width="11.5703125" customWidth="1"/>
    <col min="5" max="5" width="15.28515625" customWidth="1"/>
    <col min="6" max="6" width="15.5703125" customWidth="1"/>
    <col min="7" max="7" width="16.140625" customWidth="1"/>
    <col min="8" max="8" width="16.7109375" customWidth="1"/>
    <col min="9" max="9" width="18.42578125" customWidth="1"/>
    <col min="10" max="10" width="20.28515625" customWidth="1"/>
    <col min="11" max="11" width="19.85546875" customWidth="1"/>
    <col min="12" max="12" width="19.7109375" customWidth="1"/>
    <col min="13" max="13" width="18.42578125" customWidth="1"/>
    <col min="14" max="14" width="20.42578125" bestFit="1" customWidth="1"/>
    <col min="15" max="15" width="15.28515625" bestFit="1" customWidth="1"/>
    <col min="16" max="16" width="20.7109375" bestFit="1" customWidth="1"/>
    <col min="17" max="17" width="22.42578125" bestFit="1" customWidth="1"/>
    <col min="18" max="18" width="8.7109375" bestFit="1" customWidth="1"/>
    <col min="19" max="19" width="6.85546875" bestFit="1" customWidth="1"/>
    <col min="20" max="20" width="14.85546875" customWidth="1"/>
    <col min="21" max="21" width="15.42578125" bestFit="1" customWidth="1"/>
  </cols>
  <sheetData>
    <row r="1" spans="1:19" x14ac:dyDescent="0.25">
      <c r="A1" t="s">
        <v>52</v>
      </c>
      <c r="C1" s="88">
        <v>43878</v>
      </c>
    </row>
    <row r="2" spans="1:19" x14ac:dyDescent="0.25">
      <c r="A2" t="s">
        <v>49</v>
      </c>
      <c r="C2" t="s">
        <v>50</v>
      </c>
    </row>
    <row r="3" spans="1:19" ht="15.75" thickBot="1" x14ac:dyDescent="0.3">
      <c r="K3" t="s">
        <v>41</v>
      </c>
    </row>
    <row r="4" spans="1:19" ht="15.75" x14ac:dyDescent="0.25">
      <c r="A4" s="1" t="s">
        <v>0</v>
      </c>
      <c r="C4" s="85">
        <v>6</v>
      </c>
      <c r="K4" t="s">
        <v>42</v>
      </c>
    </row>
    <row r="5" spans="1:19" ht="15.75" x14ac:dyDescent="0.25">
      <c r="A5" s="2" t="s">
        <v>1</v>
      </c>
      <c r="C5" s="3">
        <f>+C4/12</f>
        <v>0.5</v>
      </c>
      <c r="D5">
        <f>+C4/360</f>
        <v>1.6666666666666666E-2</v>
      </c>
      <c r="K5" t="s">
        <v>43</v>
      </c>
    </row>
    <row r="6" spans="1:19" ht="15.75" x14ac:dyDescent="0.25">
      <c r="A6" s="2" t="s">
        <v>16</v>
      </c>
      <c r="C6" s="3">
        <v>35000000000</v>
      </c>
      <c r="G6" s="5"/>
      <c r="K6" t="s">
        <v>42</v>
      </c>
      <c r="M6" s="5"/>
      <c r="N6" s="5"/>
    </row>
    <row r="7" spans="1:19" ht="15.75" x14ac:dyDescent="0.25">
      <c r="A7" s="2" t="s">
        <v>3</v>
      </c>
      <c r="C7" s="4" t="s">
        <v>47</v>
      </c>
      <c r="G7" s="83">
        <f>F14*D14</f>
        <v>0</v>
      </c>
      <c r="K7" t="s">
        <v>42</v>
      </c>
      <c r="M7" s="5"/>
      <c r="N7" s="5"/>
    </row>
    <row r="8" spans="1:19" ht="110.25" hidden="1" x14ac:dyDescent="0.25">
      <c r="A8" s="6" t="s">
        <v>4</v>
      </c>
      <c r="C8" s="7">
        <v>629.39537065264267</v>
      </c>
      <c r="G8" s="5"/>
      <c r="M8" s="5"/>
      <c r="N8" s="5"/>
    </row>
    <row r="9" spans="1:19" ht="48" thickBot="1" x14ac:dyDescent="0.3">
      <c r="A9" s="36" t="s">
        <v>5</v>
      </c>
      <c r="C9" s="68"/>
      <c r="G9" s="5"/>
      <c r="M9" s="5"/>
      <c r="N9" s="5"/>
    </row>
    <row r="10" spans="1:19" ht="43.5" customHeight="1" thickBot="1" x14ac:dyDescent="0.3">
      <c r="B10" s="8"/>
      <c r="D10" s="5"/>
      <c r="E10" s="233" t="s">
        <v>6</v>
      </c>
      <c r="F10" s="234"/>
      <c r="G10" s="235"/>
      <c r="H10" s="236" t="s">
        <v>7</v>
      </c>
      <c r="I10" s="237"/>
      <c r="J10" s="237"/>
      <c r="K10" s="237"/>
      <c r="L10" s="238"/>
      <c r="M10" s="5"/>
      <c r="N10" s="5"/>
    </row>
    <row r="11" spans="1:19" ht="45.75" thickBot="1" x14ac:dyDescent="0.3">
      <c r="A11" s="9" t="s">
        <v>51</v>
      </c>
      <c r="B11" s="9" t="s">
        <v>8</v>
      </c>
      <c r="C11" s="9" t="s">
        <v>9</v>
      </c>
      <c r="D11" s="9" t="s">
        <v>10</v>
      </c>
      <c r="E11" s="37" t="s">
        <v>11</v>
      </c>
      <c r="F11" s="24" t="s">
        <v>3</v>
      </c>
      <c r="G11" s="38" t="s">
        <v>12</v>
      </c>
      <c r="H11" s="49" t="s">
        <v>11</v>
      </c>
      <c r="I11" s="239" t="s">
        <v>3</v>
      </c>
      <c r="J11" s="240"/>
      <c r="K11" s="241"/>
      <c r="L11" s="50" t="s">
        <v>12</v>
      </c>
      <c r="M11" s="9" t="s">
        <v>13</v>
      </c>
      <c r="N11" s="9" t="s">
        <v>14</v>
      </c>
      <c r="P11" t="s">
        <v>44</v>
      </c>
      <c r="Q11" t="s">
        <v>45</v>
      </c>
    </row>
    <row r="12" spans="1:19" ht="30" x14ac:dyDescent="0.25">
      <c r="B12" s="11"/>
      <c r="C12" s="11"/>
      <c r="D12" s="11"/>
      <c r="E12" s="39"/>
      <c r="F12" s="40"/>
      <c r="G12" s="41"/>
      <c r="H12" s="51"/>
      <c r="I12" s="52" t="s">
        <v>26</v>
      </c>
      <c r="J12" s="52" t="s">
        <v>27</v>
      </c>
      <c r="K12" s="52" t="s">
        <v>15</v>
      </c>
      <c r="L12" s="53"/>
      <c r="M12" s="11"/>
      <c r="N12" s="11"/>
      <c r="O12" s="87" t="s">
        <v>48</v>
      </c>
      <c r="P12" s="87" t="s">
        <v>40</v>
      </c>
      <c r="Q12" s="87" t="s">
        <v>46</v>
      </c>
    </row>
    <row r="13" spans="1:19" x14ac:dyDescent="0.25">
      <c r="A13" s="88">
        <f>C1</f>
        <v>43878</v>
      </c>
      <c r="B13" s="12"/>
      <c r="C13" s="12"/>
      <c r="D13" s="13">
        <f>VLOOKUP(A13,'IDI 18MARZO'!B:D,3,0)</f>
        <v>358.82</v>
      </c>
      <c r="E13" s="42"/>
      <c r="F13" s="43"/>
      <c r="G13" s="44"/>
      <c r="H13" s="54"/>
      <c r="I13" s="55"/>
      <c r="J13" s="55"/>
      <c r="K13" s="55"/>
      <c r="L13" s="56"/>
      <c r="M13" s="13">
        <f>+C6/D13</f>
        <v>97541943.035505265</v>
      </c>
      <c r="N13" s="13">
        <f>C6</f>
        <v>35000000000</v>
      </c>
      <c r="O13" s="72"/>
      <c r="R13" s="13">
        <f>VLOOKUP(A13,'IDI 18MARZO'!B:D,3,0)</f>
        <v>358.82</v>
      </c>
    </row>
    <row r="14" spans="1:19" x14ac:dyDescent="0.25">
      <c r="A14" s="88">
        <v>43879</v>
      </c>
      <c r="B14" s="84">
        <v>20</v>
      </c>
      <c r="C14" s="73">
        <f>+C4/360</f>
        <v>1.6666666666666666E-2</v>
      </c>
      <c r="D14" s="13">
        <f>IF(R14&gt;$D$13,R14,$D$13)</f>
        <v>359.2</v>
      </c>
      <c r="E14" s="45">
        <f t="shared" ref="E14:E43" si="0">+M13*C14/100</f>
        <v>16256.990505917545</v>
      </c>
      <c r="F14" s="82"/>
      <c r="G14" s="47">
        <f t="shared" ref="G14:G43" si="1">+E14+F14</f>
        <v>16256.990505917545</v>
      </c>
      <c r="H14" s="57">
        <f t="shared" ref="H14:H43" si="2">+E14*D14</f>
        <v>5839510.9897255823</v>
      </c>
      <c r="I14" s="58"/>
      <c r="J14" s="58">
        <f t="shared" ref="J14:J43" si="3">+F14*D14-I14</f>
        <v>0</v>
      </c>
      <c r="K14" s="58">
        <f t="shared" ref="K14:K43" si="4">+F14*D14</f>
        <v>0</v>
      </c>
      <c r="L14" s="59">
        <f t="shared" ref="L14:L43" si="5">+H14+K14</f>
        <v>5839510.9897255823</v>
      </c>
      <c r="M14" s="13">
        <f t="shared" ref="M14:M43" si="6">+M13-F14</f>
        <v>97541943.035505265</v>
      </c>
      <c r="N14" s="13">
        <f t="shared" ref="N14:N43" si="7">+M14*D14</f>
        <v>35037065938.353493</v>
      </c>
      <c r="O14" s="72">
        <f>+N14-N13</f>
        <v>37065938.353492737</v>
      </c>
      <c r="P14" s="13">
        <v>166666.66666666666</v>
      </c>
      <c r="Q14" s="72">
        <f>H14-P14</f>
        <v>5672844.3230589153</v>
      </c>
      <c r="R14" s="13">
        <f>VLOOKUP(A14,'IDI 18MARZO'!B:D,3,0)</f>
        <v>359.2</v>
      </c>
      <c r="S14" s="72">
        <f>R14-R13</f>
        <v>0.37999999999999545</v>
      </c>
    </row>
    <row r="15" spans="1:19" x14ac:dyDescent="0.25">
      <c r="A15" s="88">
        <v>43880</v>
      </c>
      <c r="B15" s="84">
        <v>20</v>
      </c>
      <c r="C15" s="73">
        <f t="shared" ref="C15:C43" si="8">+C14</f>
        <v>1.6666666666666666E-2</v>
      </c>
      <c r="D15" s="13">
        <f t="shared" ref="D15:D43" si="9">IF(R15&gt;$D$13,R15,$D$13)</f>
        <v>360.67</v>
      </c>
      <c r="E15" s="45">
        <f t="shared" si="0"/>
        <v>16256.990505917545</v>
      </c>
      <c r="F15" s="82"/>
      <c r="G15" s="47">
        <f t="shared" si="1"/>
        <v>16256.990505917545</v>
      </c>
      <c r="H15" s="57">
        <f t="shared" si="2"/>
        <v>5863408.7657692814</v>
      </c>
      <c r="I15" s="58"/>
      <c r="J15" s="58">
        <f t="shared" si="3"/>
        <v>0</v>
      </c>
      <c r="K15" s="58">
        <f t="shared" si="4"/>
        <v>0</v>
      </c>
      <c r="L15" s="59">
        <f t="shared" si="5"/>
        <v>5863408.7657692814</v>
      </c>
      <c r="M15" s="13">
        <f t="shared" si="6"/>
        <v>97541943.035505265</v>
      </c>
      <c r="N15" s="13">
        <f t="shared" si="7"/>
        <v>35180452594.615685</v>
      </c>
      <c r="O15" s="72">
        <f t="shared" ref="O15:O42" si="10">+N15-N14</f>
        <v>143386656.26219177</v>
      </c>
      <c r="P15" s="13">
        <v>166666.66666666666</v>
      </c>
      <c r="Q15" s="72">
        <f t="shared" ref="Q15:Q43" si="11">H15-P15</f>
        <v>5696742.0991026144</v>
      </c>
      <c r="R15" s="13">
        <f>VLOOKUP(A15,'IDI 18MARZO'!B:D,3,0)</f>
        <v>360.67</v>
      </c>
      <c r="S15" s="72">
        <f t="shared" ref="S15:S43" si="12">R15-R14</f>
        <v>1.4700000000000273</v>
      </c>
    </row>
    <row r="16" spans="1:19" x14ac:dyDescent="0.25">
      <c r="A16" s="88">
        <v>43881</v>
      </c>
      <c r="B16" s="84">
        <v>20</v>
      </c>
      <c r="C16" s="73">
        <f t="shared" si="8"/>
        <v>1.6666666666666666E-2</v>
      </c>
      <c r="D16" s="13">
        <f t="shared" si="9"/>
        <v>360.61</v>
      </c>
      <c r="E16" s="45">
        <f t="shared" si="0"/>
        <v>16256.990505917545</v>
      </c>
      <c r="F16" s="82"/>
      <c r="G16" s="47">
        <f t="shared" si="1"/>
        <v>16256.990505917545</v>
      </c>
      <c r="H16" s="57">
        <f t="shared" si="2"/>
        <v>5862433.3463389259</v>
      </c>
      <c r="I16" s="58"/>
      <c r="J16" s="58">
        <f t="shared" si="3"/>
        <v>0</v>
      </c>
      <c r="K16" s="58">
        <f t="shared" si="4"/>
        <v>0</v>
      </c>
      <c r="L16" s="59">
        <f t="shared" si="5"/>
        <v>5862433.3463389259</v>
      </c>
      <c r="M16" s="13">
        <f t="shared" si="6"/>
        <v>97541943.035505265</v>
      </c>
      <c r="N16" s="13">
        <f t="shared" si="7"/>
        <v>35174600078.033554</v>
      </c>
      <c r="O16" s="72">
        <f t="shared" si="10"/>
        <v>-5852516.5821304321</v>
      </c>
      <c r="P16" s="13">
        <v>166666.66666666666</v>
      </c>
      <c r="Q16" s="72">
        <f t="shared" si="11"/>
        <v>5695766.6796722589</v>
      </c>
      <c r="R16" s="13">
        <f>VLOOKUP(A16,'IDI 18MARZO'!B:D,3,0)</f>
        <v>360.61</v>
      </c>
      <c r="S16" s="72">
        <f t="shared" si="12"/>
        <v>-6.0000000000002274E-2</v>
      </c>
    </row>
    <row r="17" spans="1:19" x14ac:dyDescent="0.25">
      <c r="A17" s="88">
        <v>43882</v>
      </c>
      <c r="B17" s="84">
        <v>20</v>
      </c>
      <c r="C17" s="73">
        <f t="shared" si="8"/>
        <v>1.6666666666666666E-2</v>
      </c>
      <c r="D17" s="13">
        <f t="shared" si="9"/>
        <v>360.74</v>
      </c>
      <c r="E17" s="45">
        <f t="shared" si="0"/>
        <v>16256.990505917545</v>
      </c>
      <c r="F17" s="82"/>
      <c r="G17" s="47">
        <f t="shared" si="1"/>
        <v>16256.990505917545</v>
      </c>
      <c r="H17" s="57">
        <f t="shared" si="2"/>
        <v>5864546.7551046954</v>
      </c>
      <c r="I17" s="58"/>
      <c r="J17" s="58">
        <f t="shared" si="3"/>
        <v>0</v>
      </c>
      <c r="K17" s="58">
        <f t="shared" si="4"/>
        <v>0</v>
      </c>
      <c r="L17" s="59">
        <f t="shared" si="5"/>
        <v>5864546.7551046954</v>
      </c>
      <c r="M17" s="13">
        <f t="shared" si="6"/>
        <v>97541943.035505265</v>
      </c>
      <c r="N17" s="13">
        <f t="shared" si="7"/>
        <v>35187280530.628174</v>
      </c>
      <c r="O17" s="72">
        <f t="shared" si="10"/>
        <v>12680452.594619751</v>
      </c>
      <c r="P17" s="13">
        <v>166666.66666666666</v>
      </c>
      <c r="Q17" s="72">
        <f t="shared" si="11"/>
        <v>5697880.0884380285</v>
      </c>
      <c r="R17" s="13">
        <f>VLOOKUP(A17,'IDI 18MARZO'!B:D,3,0)</f>
        <v>360.74</v>
      </c>
      <c r="S17" s="72">
        <f t="shared" si="12"/>
        <v>0.12999999999999545</v>
      </c>
    </row>
    <row r="18" spans="1:19" x14ac:dyDescent="0.25">
      <c r="A18" s="88">
        <v>43883</v>
      </c>
      <c r="B18" s="84">
        <v>15</v>
      </c>
      <c r="C18" s="73">
        <f t="shared" si="8"/>
        <v>1.6666666666666666E-2</v>
      </c>
      <c r="D18" s="13">
        <f t="shared" si="9"/>
        <v>360.74</v>
      </c>
      <c r="E18" s="45">
        <f t="shared" si="0"/>
        <v>16256.990505917545</v>
      </c>
      <c r="F18" s="82"/>
      <c r="G18" s="47">
        <f t="shared" si="1"/>
        <v>16256.990505917545</v>
      </c>
      <c r="H18" s="57">
        <f t="shared" si="2"/>
        <v>5864546.7551046954</v>
      </c>
      <c r="I18" s="58"/>
      <c r="J18" s="58">
        <f t="shared" si="3"/>
        <v>0</v>
      </c>
      <c r="K18" s="58">
        <f t="shared" si="4"/>
        <v>0</v>
      </c>
      <c r="L18" s="59">
        <f t="shared" si="5"/>
        <v>5864546.7551046954</v>
      </c>
      <c r="M18" s="13">
        <f t="shared" si="6"/>
        <v>97541943.035505265</v>
      </c>
      <c r="N18" s="13">
        <f t="shared" si="7"/>
        <v>35187280530.628174</v>
      </c>
      <c r="O18" s="72">
        <f t="shared" si="10"/>
        <v>0</v>
      </c>
      <c r="P18" s="13">
        <v>166666.66666666666</v>
      </c>
      <c r="Q18" s="72">
        <f t="shared" si="11"/>
        <v>5697880.0884380285</v>
      </c>
      <c r="R18" s="13">
        <f>VLOOKUP(A18,'IDI 18MARZO'!B:D,3,0)</f>
        <v>360.74</v>
      </c>
      <c r="S18" s="72">
        <f t="shared" si="12"/>
        <v>0</v>
      </c>
    </row>
    <row r="19" spans="1:19" x14ac:dyDescent="0.25">
      <c r="A19" s="88">
        <v>43884</v>
      </c>
      <c r="B19" s="84">
        <v>15</v>
      </c>
      <c r="C19" s="73">
        <f t="shared" si="8"/>
        <v>1.6666666666666666E-2</v>
      </c>
      <c r="D19" s="13">
        <f t="shared" si="9"/>
        <v>360.74</v>
      </c>
      <c r="E19" s="45">
        <f t="shared" si="0"/>
        <v>16256.990505917545</v>
      </c>
      <c r="F19" s="82"/>
      <c r="G19" s="47">
        <f t="shared" si="1"/>
        <v>16256.990505917545</v>
      </c>
      <c r="H19" s="57">
        <f t="shared" si="2"/>
        <v>5864546.7551046954</v>
      </c>
      <c r="I19" s="58"/>
      <c r="J19" s="58">
        <f t="shared" si="3"/>
        <v>0</v>
      </c>
      <c r="K19" s="58">
        <f t="shared" si="4"/>
        <v>0</v>
      </c>
      <c r="L19" s="59">
        <f t="shared" si="5"/>
        <v>5864546.7551046954</v>
      </c>
      <c r="M19" s="13">
        <f t="shared" si="6"/>
        <v>97541943.035505265</v>
      </c>
      <c r="N19" s="13">
        <f t="shared" si="7"/>
        <v>35187280530.628174</v>
      </c>
      <c r="O19" s="72">
        <f t="shared" si="10"/>
        <v>0</v>
      </c>
      <c r="P19" s="13">
        <v>166666.66666666666</v>
      </c>
      <c r="Q19" s="72">
        <f t="shared" si="11"/>
        <v>5697880.0884380285</v>
      </c>
      <c r="R19" s="13">
        <f>VLOOKUP(A19,'IDI 18MARZO'!B:D,3,0)</f>
        <v>360.74</v>
      </c>
      <c r="S19" s="72">
        <f t="shared" si="12"/>
        <v>0</v>
      </c>
    </row>
    <row r="20" spans="1:19" x14ac:dyDescent="0.25">
      <c r="A20" s="88">
        <v>43885</v>
      </c>
      <c r="B20" s="84">
        <v>15</v>
      </c>
      <c r="C20" s="73">
        <f t="shared" si="8"/>
        <v>1.6666666666666666E-2</v>
      </c>
      <c r="D20" s="13">
        <f t="shared" si="9"/>
        <v>360.74</v>
      </c>
      <c r="E20" s="45">
        <f t="shared" si="0"/>
        <v>16256.990505917545</v>
      </c>
      <c r="F20" s="82"/>
      <c r="G20" s="47">
        <f t="shared" si="1"/>
        <v>16256.990505917545</v>
      </c>
      <c r="H20" s="57">
        <f t="shared" si="2"/>
        <v>5864546.7551046954</v>
      </c>
      <c r="I20" s="58"/>
      <c r="J20" s="58">
        <f t="shared" si="3"/>
        <v>0</v>
      </c>
      <c r="K20" s="58">
        <f t="shared" si="4"/>
        <v>0</v>
      </c>
      <c r="L20" s="59">
        <f t="shared" si="5"/>
        <v>5864546.7551046954</v>
      </c>
      <c r="M20" s="13">
        <f t="shared" si="6"/>
        <v>97541943.035505265</v>
      </c>
      <c r="N20" s="13">
        <f t="shared" si="7"/>
        <v>35187280530.628174</v>
      </c>
      <c r="O20" s="72">
        <f t="shared" si="10"/>
        <v>0</v>
      </c>
      <c r="P20" s="13">
        <v>166666.66666666666</v>
      </c>
      <c r="Q20" s="72">
        <f t="shared" si="11"/>
        <v>5697880.0884380285</v>
      </c>
      <c r="R20" s="13">
        <f>VLOOKUP(A20,'IDI 18MARZO'!B:D,3,0)</f>
        <v>360.74</v>
      </c>
      <c r="S20" s="72">
        <f t="shared" si="12"/>
        <v>0</v>
      </c>
    </row>
    <row r="21" spans="1:19" x14ac:dyDescent="0.25">
      <c r="A21" s="88">
        <v>43886</v>
      </c>
      <c r="B21" s="84">
        <v>15</v>
      </c>
      <c r="C21" s="73">
        <f t="shared" si="8"/>
        <v>1.6666666666666666E-2</v>
      </c>
      <c r="D21" s="13">
        <f t="shared" si="9"/>
        <v>360.74</v>
      </c>
      <c r="E21" s="45">
        <f t="shared" si="0"/>
        <v>16256.990505917545</v>
      </c>
      <c r="F21" s="82"/>
      <c r="G21" s="47">
        <f t="shared" si="1"/>
        <v>16256.990505917545</v>
      </c>
      <c r="H21" s="57">
        <f t="shared" si="2"/>
        <v>5864546.7551046954</v>
      </c>
      <c r="I21" s="58"/>
      <c r="J21" s="58">
        <f t="shared" si="3"/>
        <v>0</v>
      </c>
      <c r="K21" s="58">
        <f t="shared" si="4"/>
        <v>0</v>
      </c>
      <c r="L21" s="59">
        <f t="shared" si="5"/>
        <v>5864546.7551046954</v>
      </c>
      <c r="M21" s="13">
        <f t="shared" si="6"/>
        <v>97541943.035505265</v>
      </c>
      <c r="N21" s="13">
        <f t="shared" si="7"/>
        <v>35187280530.628174</v>
      </c>
      <c r="O21" s="72">
        <f t="shared" si="10"/>
        <v>0</v>
      </c>
      <c r="P21" s="13">
        <v>166666.66666666666</v>
      </c>
      <c r="Q21" s="72">
        <f t="shared" si="11"/>
        <v>5697880.0884380285</v>
      </c>
      <c r="R21" s="13">
        <f>VLOOKUP(A21,'IDI 18MARZO'!B:D,3,0)</f>
        <v>360.74</v>
      </c>
      <c r="S21" s="72">
        <f t="shared" si="12"/>
        <v>0</v>
      </c>
    </row>
    <row r="22" spans="1:19" x14ac:dyDescent="0.25">
      <c r="A22" s="88">
        <v>43887</v>
      </c>
      <c r="B22" s="84">
        <v>10</v>
      </c>
      <c r="C22" s="73">
        <f t="shared" si="8"/>
        <v>1.6666666666666666E-2</v>
      </c>
      <c r="D22" s="13">
        <f t="shared" si="9"/>
        <v>358.82</v>
      </c>
      <c r="E22" s="45">
        <f t="shared" si="0"/>
        <v>16256.990505917545</v>
      </c>
      <c r="F22" s="82"/>
      <c r="G22" s="47">
        <f t="shared" si="1"/>
        <v>16256.990505917545</v>
      </c>
      <c r="H22" s="57">
        <f t="shared" si="2"/>
        <v>5833333.333333334</v>
      </c>
      <c r="I22" s="58"/>
      <c r="J22" s="58">
        <f t="shared" si="3"/>
        <v>0</v>
      </c>
      <c r="K22" s="58">
        <f t="shared" si="4"/>
        <v>0</v>
      </c>
      <c r="L22" s="59">
        <f t="shared" si="5"/>
        <v>5833333.333333334</v>
      </c>
      <c r="M22" s="13">
        <f t="shared" si="6"/>
        <v>97541943.035505265</v>
      </c>
      <c r="N22" s="13">
        <f t="shared" si="7"/>
        <v>35000000000</v>
      </c>
      <c r="O22" s="72">
        <f t="shared" si="10"/>
        <v>-187280530.62817383</v>
      </c>
      <c r="P22" s="13">
        <v>166666.66666666666</v>
      </c>
      <c r="Q22" s="72">
        <f t="shared" si="11"/>
        <v>5666666.666666667</v>
      </c>
      <c r="R22" s="13">
        <f>VLOOKUP(A22,'IDI 18MARZO'!B:D,3,0)</f>
        <v>358.61</v>
      </c>
      <c r="S22" s="72">
        <f t="shared" si="12"/>
        <v>-2.1299999999999955</v>
      </c>
    </row>
    <row r="23" spans="1:19" x14ac:dyDescent="0.25">
      <c r="A23" s="88">
        <v>43888</v>
      </c>
      <c r="B23" s="84">
        <v>10</v>
      </c>
      <c r="C23" s="73">
        <f t="shared" si="8"/>
        <v>1.6666666666666666E-2</v>
      </c>
      <c r="D23" s="13">
        <f t="shared" si="9"/>
        <v>359.84</v>
      </c>
      <c r="E23" s="45">
        <f t="shared" si="0"/>
        <v>16256.990505917545</v>
      </c>
      <c r="F23" s="82"/>
      <c r="G23" s="47">
        <f t="shared" si="1"/>
        <v>16256.990505917545</v>
      </c>
      <c r="H23" s="57">
        <f t="shared" si="2"/>
        <v>5849915.4636493688</v>
      </c>
      <c r="I23" s="58"/>
      <c r="J23" s="58">
        <f t="shared" si="3"/>
        <v>0</v>
      </c>
      <c r="K23" s="58">
        <f t="shared" si="4"/>
        <v>0</v>
      </c>
      <c r="L23" s="59">
        <f t="shared" si="5"/>
        <v>5849915.4636493688</v>
      </c>
      <c r="M23" s="13">
        <f t="shared" si="6"/>
        <v>97541943.035505265</v>
      </c>
      <c r="N23" s="13">
        <f t="shared" si="7"/>
        <v>35099492781.89621</v>
      </c>
      <c r="O23" s="72">
        <f t="shared" si="10"/>
        <v>99492781.896209717</v>
      </c>
      <c r="P23" s="13">
        <v>166666.66666666666</v>
      </c>
      <c r="Q23" s="72">
        <f t="shared" si="11"/>
        <v>5683248.7969827019</v>
      </c>
      <c r="R23" s="13">
        <f>VLOOKUP(A23,'IDI 18MARZO'!B:D,3,0)</f>
        <v>359.84</v>
      </c>
      <c r="S23" s="72">
        <f t="shared" si="12"/>
        <v>1.2299999999999613</v>
      </c>
    </row>
    <row r="24" spans="1:19" x14ac:dyDescent="0.25">
      <c r="A24" s="88">
        <v>43889</v>
      </c>
      <c r="B24" s="84">
        <v>10</v>
      </c>
      <c r="C24" s="73">
        <f t="shared" si="8"/>
        <v>1.6666666666666666E-2</v>
      </c>
      <c r="D24" s="13">
        <f t="shared" si="9"/>
        <v>360.08</v>
      </c>
      <c r="E24" s="45">
        <f t="shared" si="0"/>
        <v>16256.990505917545</v>
      </c>
      <c r="F24" s="82"/>
      <c r="G24" s="47">
        <f t="shared" si="1"/>
        <v>16256.990505917545</v>
      </c>
      <c r="H24" s="57">
        <f t="shared" si="2"/>
        <v>5853817.1413707891</v>
      </c>
      <c r="I24" s="58"/>
      <c r="J24" s="58">
        <f t="shared" si="3"/>
        <v>0</v>
      </c>
      <c r="K24" s="58">
        <f t="shared" si="4"/>
        <v>0</v>
      </c>
      <c r="L24" s="59">
        <f t="shared" si="5"/>
        <v>5853817.1413707891</v>
      </c>
      <c r="M24" s="13">
        <f t="shared" si="6"/>
        <v>97541943.035505265</v>
      </c>
      <c r="N24" s="13">
        <f t="shared" si="7"/>
        <v>35122902848.224731</v>
      </c>
      <c r="O24" s="72">
        <f t="shared" si="10"/>
        <v>23410066.328521729</v>
      </c>
      <c r="P24" s="13">
        <v>166666.66666666666</v>
      </c>
      <c r="Q24" s="72">
        <f t="shared" si="11"/>
        <v>5687150.4747041222</v>
      </c>
      <c r="R24" s="13">
        <f>VLOOKUP(A24,'IDI 18MARZO'!B:D,3,0)</f>
        <v>360.08</v>
      </c>
      <c r="S24" s="72">
        <f t="shared" si="12"/>
        <v>0.24000000000000909</v>
      </c>
    </row>
    <row r="25" spans="1:19" x14ac:dyDescent="0.25">
      <c r="A25" s="88">
        <v>43890</v>
      </c>
      <c r="B25" s="84">
        <v>10</v>
      </c>
      <c r="C25" s="73">
        <f t="shared" si="8"/>
        <v>1.6666666666666666E-2</v>
      </c>
      <c r="D25" s="13">
        <f t="shared" si="9"/>
        <v>360.08</v>
      </c>
      <c r="E25" s="45">
        <f t="shared" si="0"/>
        <v>16256.990505917545</v>
      </c>
      <c r="F25" s="82"/>
      <c r="G25" s="47">
        <f t="shared" si="1"/>
        <v>16256.990505917545</v>
      </c>
      <c r="H25" s="57">
        <f t="shared" si="2"/>
        <v>5853817.1413707891</v>
      </c>
      <c r="I25" s="58"/>
      <c r="J25" s="58">
        <f t="shared" si="3"/>
        <v>0</v>
      </c>
      <c r="K25" s="58">
        <f t="shared" si="4"/>
        <v>0</v>
      </c>
      <c r="L25" s="59">
        <f t="shared" si="5"/>
        <v>5853817.1413707891</v>
      </c>
      <c r="M25" s="13">
        <f t="shared" si="6"/>
        <v>97541943.035505265</v>
      </c>
      <c r="N25" s="13">
        <f t="shared" si="7"/>
        <v>35122902848.224731</v>
      </c>
      <c r="O25" s="72">
        <f t="shared" si="10"/>
        <v>0</v>
      </c>
      <c r="P25" s="13">
        <v>166666.66666666666</v>
      </c>
      <c r="Q25" s="72">
        <f t="shared" si="11"/>
        <v>5687150.4747041222</v>
      </c>
      <c r="R25" s="13">
        <f>VLOOKUP(A25,'IDI 18MARZO'!B:D,3,0)</f>
        <v>360.08</v>
      </c>
      <c r="S25" s="72">
        <f t="shared" si="12"/>
        <v>0</v>
      </c>
    </row>
    <row r="26" spans="1:19" x14ac:dyDescent="0.25">
      <c r="A26" s="88">
        <v>43891</v>
      </c>
      <c r="B26" s="84">
        <v>10</v>
      </c>
      <c r="C26" s="73">
        <f t="shared" si="8"/>
        <v>1.6666666666666666E-2</v>
      </c>
      <c r="D26" s="13">
        <f t="shared" si="9"/>
        <v>360.08</v>
      </c>
      <c r="E26" s="45">
        <f t="shared" si="0"/>
        <v>16256.990505917545</v>
      </c>
      <c r="F26" s="82"/>
      <c r="G26" s="47">
        <f t="shared" si="1"/>
        <v>16256.990505917545</v>
      </c>
      <c r="H26" s="57">
        <f t="shared" si="2"/>
        <v>5853817.1413707891</v>
      </c>
      <c r="I26" s="58"/>
      <c r="J26" s="58">
        <f t="shared" si="3"/>
        <v>0</v>
      </c>
      <c r="K26" s="58">
        <f t="shared" si="4"/>
        <v>0</v>
      </c>
      <c r="L26" s="59">
        <f t="shared" si="5"/>
        <v>5853817.1413707891</v>
      </c>
      <c r="M26" s="13">
        <f t="shared" si="6"/>
        <v>97541943.035505265</v>
      </c>
      <c r="N26" s="13">
        <f t="shared" si="7"/>
        <v>35122902848.224731</v>
      </c>
      <c r="O26" s="72">
        <f t="shared" si="10"/>
        <v>0</v>
      </c>
      <c r="P26" s="13">
        <v>166666.66666666666</v>
      </c>
      <c r="Q26" s="72">
        <f t="shared" si="11"/>
        <v>5687150.4747041222</v>
      </c>
      <c r="R26" s="13">
        <f>VLOOKUP(A26,'IDI 18MARZO'!B:D,3,0)</f>
        <v>360.08</v>
      </c>
      <c r="S26" s="72">
        <f t="shared" si="12"/>
        <v>0</v>
      </c>
    </row>
    <row r="27" spans="1:19" x14ac:dyDescent="0.25">
      <c r="A27" s="88">
        <v>43892</v>
      </c>
      <c r="B27" s="84">
        <v>10</v>
      </c>
      <c r="C27" s="73">
        <f t="shared" si="8"/>
        <v>1.6666666666666666E-2</v>
      </c>
      <c r="D27" s="13">
        <f t="shared" si="9"/>
        <v>362.23</v>
      </c>
      <c r="E27" s="45">
        <f t="shared" si="0"/>
        <v>16256.990505917545</v>
      </c>
      <c r="F27" s="82"/>
      <c r="G27" s="47">
        <f t="shared" si="1"/>
        <v>16256.990505917545</v>
      </c>
      <c r="H27" s="57">
        <f t="shared" si="2"/>
        <v>5888769.6709585125</v>
      </c>
      <c r="I27" s="58"/>
      <c r="J27" s="58">
        <f t="shared" si="3"/>
        <v>0</v>
      </c>
      <c r="K27" s="58">
        <f t="shared" si="4"/>
        <v>0</v>
      </c>
      <c r="L27" s="59">
        <f t="shared" si="5"/>
        <v>5888769.6709585125</v>
      </c>
      <c r="M27" s="13">
        <f t="shared" si="6"/>
        <v>97541943.035505265</v>
      </c>
      <c r="N27" s="13">
        <f t="shared" si="7"/>
        <v>35332618025.751076</v>
      </c>
      <c r="O27" s="72">
        <f t="shared" si="10"/>
        <v>209715177.5263443</v>
      </c>
      <c r="P27" s="13">
        <v>166666.66666666666</v>
      </c>
      <c r="Q27" s="72">
        <f t="shared" si="11"/>
        <v>5722103.0042918455</v>
      </c>
      <c r="R27" s="13">
        <f>VLOOKUP(A27,'IDI 18MARZO'!B:D,3,0)</f>
        <v>362.23</v>
      </c>
      <c r="S27" s="72">
        <f t="shared" si="12"/>
        <v>2.1500000000000341</v>
      </c>
    </row>
    <row r="28" spans="1:19" x14ac:dyDescent="0.25">
      <c r="A28" s="88">
        <v>43893</v>
      </c>
      <c r="B28" s="84">
        <v>10</v>
      </c>
      <c r="C28" s="73">
        <f t="shared" si="8"/>
        <v>1.6666666666666666E-2</v>
      </c>
      <c r="D28" s="13">
        <f t="shared" si="9"/>
        <v>361.72</v>
      </c>
      <c r="E28" s="45">
        <f t="shared" si="0"/>
        <v>16256.990505917545</v>
      </c>
      <c r="F28" s="82"/>
      <c r="G28" s="47">
        <f t="shared" si="1"/>
        <v>16256.990505917545</v>
      </c>
      <c r="H28" s="57">
        <f t="shared" si="2"/>
        <v>5880478.6058004946</v>
      </c>
      <c r="I28" s="58"/>
      <c r="J28" s="58">
        <f t="shared" si="3"/>
        <v>0</v>
      </c>
      <c r="K28" s="58">
        <f t="shared" si="4"/>
        <v>0</v>
      </c>
      <c r="L28" s="59">
        <f t="shared" si="5"/>
        <v>5880478.6058004946</v>
      </c>
      <c r="M28" s="13">
        <f t="shared" si="6"/>
        <v>97541943.035505265</v>
      </c>
      <c r="N28" s="13">
        <f t="shared" si="7"/>
        <v>35282871634.802971</v>
      </c>
      <c r="O28" s="72">
        <f t="shared" si="10"/>
        <v>-49746390.948104858</v>
      </c>
      <c r="P28" s="13">
        <v>166666.66666666666</v>
      </c>
      <c r="Q28" s="72">
        <f t="shared" si="11"/>
        <v>5713811.9391338276</v>
      </c>
      <c r="R28" s="13">
        <f>VLOOKUP(A28,'IDI 18MARZO'!B:D,3,0)</f>
        <v>361.72</v>
      </c>
      <c r="S28" s="72">
        <f t="shared" si="12"/>
        <v>-0.50999999999999091</v>
      </c>
    </row>
    <row r="29" spans="1:19" x14ac:dyDescent="0.25">
      <c r="A29" s="88">
        <v>43894</v>
      </c>
      <c r="B29" s="84">
        <v>10</v>
      </c>
      <c r="C29" s="73">
        <f t="shared" si="8"/>
        <v>1.6666666666666666E-2</v>
      </c>
      <c r="D29" s="13">
        <f t="shared" si="9"/>
        <v>360.95</v>
      </c>
      <c r="E29" s="45">
        <f t="shared" si="0"/>
        <v>16256.990505917545</v>
      </c>
      <c r="F29" s="82"/>
      <c r="G29" s="47">
        <f t="shared" si="1"/>
        <v>16256.990505917545</v>
      </c>
      <c r="H29" s="57">
        <f t="shared" si="2"/>
        <v>5867960.7231109375</v>
      </c>
      <c r="I29" s="58"/>
      <c r="J29" s="58">
        <f t="shared" si="3"/>
        <v>0</v>
      </c>
      <c r="K29" s="58">
        <f t="shared" si="4"/>
        <v>0</v>
      </c>
      <c r="L29" s="59">
        <f t="shared" si="5"/>
        <v>5867960.7231109375</v>
      </c>
      <c r="M29" s="13">
        <f t="shared" si="6"/>
        <v>97541943.035505265</v>
      </c>
      <c r="N29" s="13">
        <f t="shared" si="7"/>
        <v>35207764338.665627</v>
      </c>
      <c r="O29" s="72">
        <f t="shared" si="10"/>
        <v>-75107296.13734436</v>
      </c>
      <c r="P29" s="13">
        <v>166666.66666666666</v>
      </c>
      <c r="Q29" s="72">
        <f t="shared" si="11"/>
        <v>5701294.0564442705</v>
      </c>
      <c r="R29" s="13">
        <f>VLOOKUP(A29,'IDI 18MARZO'!B:D,3,0)</f>
        <v>360.95</v>
      </c>
      <c r="S29" s="72">
        <f t="shared" si="12"/>
        <v>-0.77000000000003865</v>
      </c>
    </row>
    <row r="30" spans="1:19" x14ac:dyDescent="0.25">
      <c r="A30" s="88">
        <v>43895</v>
      </c>
      <c r="B30" s="84">
        <v>10</v>
      </c>
      <c r="C30" s="73">
        <f t="shared" si="8"/>
        <v>1.6666666666666666E-2</v>
      </c>
      <c r="D30" s="13">
        <f t="shared" si="9"/>
        <v>360.09</v>
      </c>
      <c r="E30" s="45">
        <f t="shared" si="0"/>
        <v>16256.990505917545</v>
      </c>
      <c r="F30" s="82"/>
      <c r="G30" s="47">
        <f t="shared" si="1"/>
        <v>16256.990505917545</v>
      </c>
      <c r="H30" s="57">
        <f t="shared" si="2"/>
        <v>5853979.7112758486</v>
      </c>
      <c r="I30" s="58"/>
      <c r="J30" s="58">
        <f t="shared" si="3"/>
        <v>0</v>
      </c>
      <c r="K30" s="58">
        <f t="shared" si="4"/>
        <v>0</v>
      </c>
      <c r="L30" s="59">
        <f t="shared" si="5"/>
        <v>5853979.7112758486</v>
      </c>
      <c r="M30" s="13">
        <f t="shared" si="6"/>
        <v>97541943.035505265</v>
      </c>
      <c r="N30" s="13">
        <f t="shared" si="7"/>
        <v>35123878267.65509</v>
      </c>
      <c r="O30" s="72">
        <f t="shared" si="10"/>
        <v>-83886071.010536194</v>
      </c>
      <c r="P30" s="13">
        <v>166666.66666666666</v>
      </c>
      <c r="Q30" s="72">
        <f t="shared" si="11"/>
        <v>5687313.0446091816</v>
      </c>
      <c r="R30" s="13">
        <f>VLOOKUP(A30,'IDI 18MARZO'!B:D,3,0)</f>
        <v>360.09</v>
      </c>
      <c r="S30" s="72">
        <f t="shared" si="12"/>
        <v>-0.86000000000001364</v>
      </c>
    </row>
    <row r="31" spans="1:19" x14ac:dyDescent="0.25">
      <c r="A31" s="88">
        <v>43896</v>
      </c>
      <c r="B31" s="84">
        <v>10</v>
      </c>
      <c r="C31" s="73">
        <f t="shared" si="8"/>
        <v>1.6666666666666666E-2</v>
      </c>
      <c r="D31" s="13">
        <f t="shared" si="9"/>
        <v>358.82</v>
      </c>
      <c r="E31" s="45">
        <f t="shared" si="0"/>
        <v>16256.990505917545</v>
      </c>
      <c r="F31" s="82"/>
      <c r="G31" s="47">
        <f t="shared" si="1"/>
        <v>16256.990505917545</v>
      </c>
      <c r="H31" s="57">
        <f t="shared" si="2"/>
        <v>5833333.333333334</v>
      </c>
      <c r="I31" s="58"/>
      <c r="J31" s="58">
        <f t="shared" si="3"/>
        <v>0</v>
      </c>
      <c r="K31" s="58">
        <f t="shared" si="4"/>
        <v>0</v>
      </c>
      <c r="L31" s="59">
        <f t="shared" si="5"/>
        <v>5833333.333333334</v>
      </c>
      <c r="M31" s="13">
        <f t="shared" si="6"/>
        <v>97541943.035505265</v>
      </c>
      <c r="N31" s="13">
        <f t="shared" si="7"/>
        <v>35000000000</v>
      </c>
      <c r="O31" s="72">
        <f t="shared" si="10"/>
        <v>-123878267.65509033</v>
      </c>
      <c r="P31" s="13">
        <v>166666.66666666666</v>
      </c>
      <c r="Q31" s="72">
        <f t="shared" si="11"/>
        <v>5666666.666666667</v>
      </c>
      <c r="R31" s="13">
        <f>VLOOKUP(A31,'IDI 18MARZO'!B:D,3,0)</f>
        <v>357.84</v>
      </c>
      <c r="S31" s="72">
        <f t="shared" si="12"/>
        <v>-2.25</v>
      </c>
    </row>
    <row r="32" spans="1:19" x14ac:dyDescent="0.25">
      <c r="A32" s="88">
        <v>43897</v>
      </c>
      <c r="B32" s="84">
        <v>10</v>
      </c>
      <c r="C32" s="73">
        <f t="shared" si="8"/>
        <v>1.6666666666666666E-2</v>
      </c>
      <c r="D32" s="13">
        <f t="shared" si="9"/>
        <v>358.82</v>
      </c>
      <c r="E32" s="45">
        <f t="shared" si="0"/>
        <v>16256.990505917545</v>
      </c>
      <c r="F32" s="82"/>
      <c r="G32" s="47">
        <f t="shared" si="1"/>
        <v>16256.990505917545</v>
      </c>
      <c r="H32" s="57">
        <f t="shared" si="2"/>
        <v>5833333.333333334</v>
      </c>
      <c r="I32" s="58"/>
      <c r="J32" s="58">
        <f t="shared" si="3"/>
        <v>0</v>
      </c>
      <c r="K32" s="58">
        <f t="shared" si="4"/>
        <v>0</v>
      </c>
      <c r="L32" s="59">
        <f t="shared" si="5"/>
        <v>5833333.333333334</v>
      </c>
      <c r="M32" s="13">
        <f t="shared" si="6"/>
        <v>97541943.035505265</v>
      </c>
      <c r="N32" s="13">
        <f t="shared" si="7"/>
        <v>35000000000</v>
      </c>
      <c r="O32" s="72">
        <f t="shared" si="10"/>
        <v>0</v>
      </c>
      <c r="P32" s="13">
        <v>166666.66666666666</v>
      </c>
      <c r="Q32" s="72">
        <f t="shared" si="11"/>
        <v>5666666.666666667</v>
      </c>
      <c r="R32" s="13">
        <f>VLOOKUP(A32,'IDI 18MARZO'!B:D,3,0)</f>
        <v>357.84</v>
      </c>
      <c r="S32" s="72">
        <f t="shared" si="12"/>
        <v>0</v>
      </c>
    </row>
    <row r="33" spans="1:19" x14ac:dyDescent="0.25">
      <c r="A33" s="88">
        <v>43898</v>
      </c>
      <c r="B33" s="84">
        <v>10</v>
      </c>
      <c r="C33" s="73">
        <f t="shared" si="8"/>
        <v>1.6666666666666666E-2</v>
      </c>
      <c r="D33" s="13">
        <f t="shared" si="9"/>
        <v>358.82</v>
      </c>
      <c r="E33" s="45">
        <f t="shared" si="0"/>
        <v>16256.990505917545</v>
      </c>
      <c r="F33" s="82"/>
      <c r="G33" s="47">
        <f t="shared" si="1"/>
        <v>16256.990505917545</v>
      </c>
      <c r="H33" s="57">
        <f t="shared" si="2"/>
        <v>5833333.333333334</v>
      </c>
      <c r="I33" s="58"/>
      <c r="J33" s="58">
        <f t="shared" si="3"/>
        <v>0</v>
      </c>
      <c r="K33" s="58">
        <f t="shared" si="4"/>
        <v>0</v>
      </c>
      <c r="L33" s="59">
        <f t="shared" si="5"/>
        <v>5833333.333333334</v>
      </c>
      <c r="M33" s="13">
        <f t="shared" si="6"/>
        <v>97541943.035505265</v>
      </c>
      <c r="N33" s="13">
        <f t="shared" si="7"/>
        <v>35000000000</v>
      </c>
      <c r="O33" s="72">
        <f t="shared" si="10"/>
        <v>0</v>
      </c>
      <c r="P33" s="13">
        <v>166666.66666666666</v>
      </c>
      <c r="Q33" s="72">
        <f t="shared" si="11"/>
        <v>5666666.666666667</v>
      </c>
      <c r="R33" s="13">
        <f>VLOOKUP(A33,'IDI 18MARZO'!B:D,3,0)</f>
        <v>357.84</v>
      </c>
      <c r="S33" s="72">
        <f t="shared" si="12"/>
        <v>0</v>
      </c>
    </row>
    <row r="34" spans="1:19" x14ac:dyDescent="0.25">
      <c r="A34" s="88">
        <v>43899</v>
      </c>
      <c r="B34" s="84">
        <v>10</v>
      </c>
      <c r="C34" s="73">
        <f t="shared" si="8"/>
        <v>1.6666666666666666E-2</v>
      </c>
      <c r="D34" s="13">
        <f t="shared" si="9"/>
        <v>358.82</v>
      </c>
      <c r="E34" s="45">
        <f t="shared" si="0"/>
        <v>16256.990505917545</v>
      </c>
      <c r="F34" s="82"/>
      <c r="G34" s="47">
        <f t="shared" si="1"/>
        <v>16256.990505917545</v>
      </c>
      <c r="H34" s="57">
        <f t="shared" si="2"/>
        <v>5833333.333333334</v>
      </c>
      <c r="I34" s="58"/>
      <c r="J34" s="58">
        <f t="shared" si="3"/>
        <v>0</v>
      </c>
      <c r="K34" s="58">
        <f t="shared" si="4"/>
        <v>0</v>
      </c>
      <c r="L34" s="59">
        <f t="shared" si="5"/>
        <v>5833333.333333334</v>
      </c>
      <c r="M34" s="13">
        <f t="shared" si="6"/>
        <v>97541943.035505265</v>
      </c>
      <c r="N34" s="13">
        <f t="shared" si="7"/>
        <v>35000000000</v>
      </c>
      <c r="O34" s="72">
        <f t="shared" si="10"/>
        <v>0</v>
      </c>
      <c r="P34" s="13">
        <v>166666.66666666666</v>
      </c>
      <c r="Q34" s="72">
        <f t="shared" si="11"/>
        <v>5666666.666666667</v>
      </c>
      <c r="R34" s="13">
        <f>VLOOKUP(A34,'IDI 18MARZO'!B:D,3,0)</f>
        <v>357.99</v>
      </c>
      <c r="S34" s="72">
        <f t="shared" si="12"/>
        <v>0.15000000000003411</v>
      </c>
    </row>
    <row r="35" spans="1:19" x14ac:dyDescent="0.25">
      <c r="A35" s="88">
        <v>43900</v>
      </c>
      <c r="B35" s="84">
        <v>10</v>
      </c>
      <c r="C35" s="73">
        <f t="shared" si="8"/>
        <v>1.6666666666666666E-2</v>
      </c>
      <c r="D35" s="13">
        <f t="shared" si="9"/>
        <v>358.82</v>
      </c>
      <c r="E35" s="45">
        <f t="shared" si="0"/>
        <v>16256.990505917545</v>
      </c>
      <c r="F35" s="82"/>
      <c r="G35" s="47">
        <f t="shared" si="1"/>
        <v>16256.990505917545</v>
      </c>
      <c r="H35" s="57">
        <f t="shared" si="2"/>
        <v>5833333.333333334</v>
      </c>
      <c r="I35" s="58"/>
      <c r="J35" s="58">
        <f t="shared" si="3"/>
        <v>0</v>
      </c>
      <c r="K35" s="58">
        <f t="shared" si="4"/>
        <v>0</v>
      </c>
      <c r="L35" s="59">
        <f t="shared" si="5"/>
        <v>5833333.333333334</v>
      </c>
      <c r="M35" s="13">
        <f t="shared" si="6"/>
        <v>97541943.035505265</v>
      </c>
      <c r="N35" s="13">
        <f t="shared" si="7"/>
        <v>35000000000</v>
      </c>
      <c r="O35" s="72">
        <f t="shared" si="10"/>
        <v>0</v>
      </c>
      <c r="P35" s="13">
        <v>166666.66666666666</v>
      </c>
      <c r="Q35" s="72">
        <f t="shared" si="11"/>
        <v>5666666.666666667</v>
      </c>
      <c r="R35" s="13">
        <f>VLOOKUP(A35,'IDI 18MARZO'!B:D,3,0)</f>
        <v>358.14</v>
      </c>
      <c r="S35" s="72">
        <f t="shared" si="12"/>
        <v>0.14999999999997726</v>
      </c>
    </row>
    <row r="36" spans="1:19" x14ac:dyDescent="0.25">
      <c r="A36" s="88">
        <v>43901</v>
      </c>
      <c r="B36" s="84">
        <v>10</v>
      </c>
      <c r="C36" s="73">
        <f t="shared" si="8"/>
        <v>1.6666666666666666E-2</v>
      </c>
      <c r="D36" s="13">
        <f t="shared" si="9"/>
        <v>358.82</v>
      </c>
      <c r="E36" s="45">
        <f t="shared" si="0"/>
        <v>16256.990505917545</v>
      </c>
      <c r="F36" s="82"/>
      <c r="G36" s="47">
        <f t="shared" si="1"/>
        <v>16256.990505917545</v>
      </c>
      <c r="H36" s="57">
        <f t="shared" si="2"/>
        <v>5833333.333333334</v>
      </c>
      <c r="I36" s="58"/>
      <c r="J36" s="58">
        <f t="shared" si="3"/>
        <v>0</v>
      </c>
      <c r="K36" s="58">
        <f t="shared" si="4"/>
        <v>0</v>
      </c>
      <c r="L36" s="59">
        <f t="shared" si="5"/>
        <v>5833333.333333334</v>
      </c>
      <c r="M36" s="13">
        <f t="shared" si="6"/>
        <v>97541943.035505265</v>
      </c>
      <c r="N36" s="13">
        <f t="shared" si="7"/>
        <v>35000000000</v>
      </c>
      <c r="O36" s="72">
        <f t="shared" si="10"/>
        <v>0</v>
      </c>
      <c r="P36" s="13">
        <v>166666.66666666666</v>
      </c>
      <c r="Q36" s="72">
        <f t="shared" si="11"/>
        <v>5666666.666666667</v>
      </c>
      <c r="R36" s="13">
        <f>VLOOKUP(A36,'IDI 18MARZO'!B:D,3,0)</f>
        <v>358.53</v>
      </c>
      <c r="S36" s="72">
        <f t="shared" si="12"/>
        <v>0.38999999999998636</v>
      </c>
    </row>
    <row r="37" spans="1:19" x14ac:dyDescent="0.25">
      <c r="A37" s="88">
        <v>43902</v>
      </c>
      <c r="B37" s="84">
        <v>10</v>
      </c>
      <c r="C37" s="73">
        <f t="shared" si="8"/>
        <v>1.6666666666666666E-2</v>
      </c>
      <c r="D37" s="13">
        <f t="shared" si="9"/>
        <v>360.07</v>
      </c>
      <c r="E37" s="45">
        <f t="shared" si="0"/>
        <v>16256.990505917545</v>
      </c>
      <c r="F37" s="82"/>
      <c r="G37" s="47">
        <f t="shared" si="1"/>
        <v>16256.990505917545</v>
      </c>
      <c r="H37" s="57">
        <f t="shared" si="2"/>
        <v>5853654.5714657307</v>
      </c>
      <c r="I37" s="58"/>
      <c r="J37" s="58">
        <f t="shared" si="3"/>
        <v>0</v>
      </c>
      <c r="K37" s="58">
        <f t="shared" si="4"/>
        <v>0</v>
      </c>
      <c r="L37" s="59">
        <f t="shared" si="5"/>
        <v>5853654.5714657307</v>
      </c>
      <c r="M37" s="13">
        <f t="shared" si="6"/>
        <v>97541943.035505265</v>
      </c>
      <c r="N37" s="13">
        <f t="shared" si="7"/>
        <v>35121927428.79438</v>
      </c>
      <c r="O37" s="72">
        <f t="shared" si="10"/>
        <v>121927428.79438019</v>
      </c>
      <c r="P37" s="13">
        <v>166666.66666666666</v>
      </c>
      <c r="Q37" s="72">
        <f t="shared" si="11"/>
        <v>5686987.9047990637</v>
      </c>
      <c r="R37" s="13">
        <f>VLOOKUP(A37,'IDI 18MARZO'!B:D,3,0)</f>
        <v>360.07</v>
      </c>
      <c r="S37" s="72">
        <f t="shared" si="12"/>
        <v>1.5400000000000205</v>
      </c>
    </row>
    <row r="38" spans="1:19" x14ac:dyDescent="0.25">
      <c r="A38" s="88">
        <v>43903</v>
      </c>
      <c r="B38" s="84">
        <v>10</v>
      </c>
      <c r="C38" s="73">
        <f t="shared" si="8"/>
        <v>1.6666666666666666E-2</v>
      </c>
      <c r="D38" s="13">
        <f t="shared" si="9"/>
        <v>360.26</v>
      </c>
      <c r="E38" s="45">
        <f t="shared" si="0"/>
        <v>16256.990505917545</v>
      </c>
      <c r="F38" s="82"/>
      <c r="G38" s="47">
        <f t="shared" si="1"/>
        <v>16256.990505917545</v>
      </c>
      <c r="H38" s="57">
        <f t="shared" si="2"/>
        <v>5856743.3996618548</v>
      </c>
      <c r="I38" s="58"/>
      <c r="J38" s="58">
        <f t="shared" si="3"/>
        <v>0</v>
      </c>
      <c r="K38" s="58">
        <f t="shared" si="4"/>
        <v>0</v>
      </c>
      <c r="L38" s="59">
        <f t="shared" si="5"/>
        <v>5856743.3996618548</v>
      </c>
      <c r="M38" s="13">
        <f t="shared" si="6"/>
        <v>97541943.035505265</v>
      </c>
      <c r="N38" s="13">
        <f t="shared" si="7"/>
        <v>35140460397.971123</v>
      </c>
      <c r="O38" s="72">
        <f t="shared" si="10"/>
        <v>18532969.176742554</v>
      </c>
      <c r="P38" s="13">
        <v>166666.66666666666</v>
      </c>
      <c r="Q38" s="72">
        <f t="shared" si="11"/>
        <v>5690076.7329951879</v>
      </c>
      <c r="R38" s="13">
        <f>VLOOKUP(A38,'IDI 18MARZO'!B:D,3,0)</f>
        <v>360.26</v>
      </c>
      <c r="S38" s="72">
        <f t="shared" si="12"/>
        <v>0.18999999999999773</v>
      </c>
    </row>
    <row r="39" spans="1:19" x14ac:dyDescent="0.25">
      <c r="A39" s="88">
        <v>43904</v>
      </c>
      <c r="B39" s="84">
        <v>10</v>
      </c>
      <c r="C39" s="73">
        <f t="shared" si="8"/>
        <v>1.6666666666666666E-2</v>
      </c>
      <c r="D39" s="13">
        <f t="shared" si="9"/>
        <v>360.26</v>
      </c>
      <c r="E39" s="45">
        <f t="shared" si="0"/>
        <v>16256.990505917545</v>
      </c>
      <c r="F39" s="82"/>
      <c r="G39" s="47">
        <f t="shared" si="1"/>
        <v>16256.990505917545</v>
      </c>
      <c r="H39" s="57">
        <f t="shared" si="2"/>
        <v>5856743.3996618548</v>
      </c>
      <c r="I39" s="58"/>
      <c r="J39" s="58">
        <f t="shared" si="3"/>
        <v>0</v>
      </c>
      <c r="K39" s="58">
        <f t="shared" si="4"/>
        <v>0</v>
      </c>
      <c r="L39" s="59">
        <f t="shared" si="5"/>
        <v>5856743.3996618548</v>
      </c>
      <c r="M39" s="13">
        <f t="shared" si="6"/>
        <v>97541943.035505265</v>
      </c>
      <c r="N39" s="13">
        <f t="shared" si="7"/>
        <v>35140460397.971123</v>
      </c>
      <c r="O39" s="72">
        <f t="shared" si="10"/>
        <v>0</v>
      </c>
      <c r="P39" s="13">
        <v>166666.66666666666</v>
      </c>
      <c r="Q39" s="72">
        <f t="shared" si="11"/>
        <v>5690076.7329951879</v>
      </c>
      <c r="R39" s="13">
        <f>VLOOKUP(A39,'IDI 18MARZO'!B:D,3,0)</f>
        <v>360.26</v>
      </c>
      <c r="S39" s="72">
        <f t="shared" si="12"/>
        <v>0</v>
      </c>
    </row>
    <row r="40" spans="1:19" x14ac:dyDescent="0.25">
      <c r="A40" s="88">
        <v>43905</v>
      </c>
      <c r="B40" s="84">
        <v>10</v>
      </c>
      <c r="C40" s="73">
        <f t="shared" si="8"/>
        <v>1.6666666666666666E-2</v>
      </c>
      <c r="D40" s="13">
        <f t="shared" si="9"/>
        <v>360.26</v>
      </c>
      <c r="E40" s="45">
        <f t="shared" si="0"/>
        <v>16256.990505917545</v>
      </c>
      <c r="F40" s="82"/>
      <c r="G40" s="47">
        <f t="shared" si="1"/>
        <v>16256.990505917545</v>
      </c>
      <c r="H40" s="57">
        <f t="shared" si="2"/>
        <v>5856743.3996618548</v>
      </c>
      <c r="I40" s="58"/>
      <c r="J40" s="58">
        <f t="shared" si="3"/>
        <v>0</v>
      </c>
      <c r="K40" s="58">
        <f t="shared" si="4"/>
        <v>0</v>
      </c>
      <c r="L40" s="59">
        <f t="shared" si="5"/>
        <v>5856743.3996618548</v>
      </c>
      <c r="M40" s="13">
        <f t="shared" si="6"/>
        <v>97541943.035505265</v>
      </c>
      <c r="N40" s="13">
        <f t="shared" si="7"/>
        <v>35140460397.971123</v>
      </c>
      <c r="O40" s="72">
        <f t="shared" si="10"/>
        <v>0</v>
      </c>
      <c r="P40" s="13">
        <v>166666.66666666666</v>
      </c>
      <c r="Q40" s="72">
        <f t="shared" si="11"/>
        <v>5690076.7329951879</v>
      </c>
      <c r="R40" s="13">
        <f>VLOOKUP(A40,'IDI 18MARZO'!B:D,3,0)</f>
        <v>360.26</v>
      </c>
      <c r="S40" s="72">
        <f t="shared" si="12"/>
        <v>0</v>
      </c>
    </row>
    <row r="41" spans="1:19" x14ac:dyDescent="0.25">
      <c r="A41" s="88">
        <v>43906</v>
      </c>
      <c r="B41" s="84">
        <v>10</v>
      </c>
      <c r="C41" s="73">
        <f t="shared" si="8"/>
        <v>1.6666666666666666E-2</v>
      </c>
      <c r="D41" s="13">
        <f t="shared" si="9"/>
        <v>362.18</v>
      </c>
      <c r="E41" s="45">
        <f t="shared" si="0"/>
        <v>16256.990505917545</v>
      </c>
      <c r="F41" s="82"/>
      <c r="G41" s="47">
        <f t="shared" si="1"/>
        <v>16256.990505917545</v>
      </c>
      <c r="H41" s="57">
        <f t="shared" si="2"/>
        <v>5887956.8214332163</v>
      </c>
      <c r="I41" s="58"/>
      <c r="J41" s="58">
        <f t="shared" si="3"/>
        <v>0</v>
      </c>
      <c r="K41" s="58">
        <f t="shared" si="4"/>
        <v>0</v>
      </c>
      <c r="L41" s="59">
        <f t="shared" si="5"/>
        <v>5887956.8214332163</v>
      </c>
      <c r="M41" s="13">
        <f t="shared" si="6"/>
        <v>97541943.035505265</v>
      </c>
      <c r="N41" s="13">
        <f t="shared" si="7"/>
        <v>35327740928.599297</v>
      </c>
      <c r="O41" s="72">
        <f t="shared" si="10"/>
        <v>187280530.62817383</v>
      </c>
      <c r="P41" s="13">
        <v>166666.66666666666</v>
      </c>
      <c r="Q41" s="72">
        <f t="shared" si="11"/>
        <v>5721290.1547665494</v>
      </c>
      <c r="R41" s="13">
        <f>VLOOKUP(A41,'IDI 18MARZO'!B:D,3,0)</f>
        <v>362.18</v>
      </c>
      <c r="S41" s="72">
        <f t="shared" si="12"/>
        <v>1.9200000000000159</v>
      </c>
    </row>
    <row r="42" spans="1:19" x14ac:dyDescent="0.25">
      <c r="A42" s="88">
        <v>43907</v>
      </c>
      <c r="B42" s="84">
        <v>10</v>
      </c>
      <c r="C42" s="73">
        <f t="shared" si="8"/>
        <v>1.6666666666666666E-2</v>
      </c>
      <c r="D42" s="13">
        <f t="shared" si="9"/>
        <v>362.5</v>
      </c>
      <c r="E42" s="45">
        <f t="shared" si="0"/>
        <v>16256.990505917545</v>
      </c>
      <c r="F42" s="82"/>
      <c r="G42" s="47">
        <f t="shared" si="1"/>
        <v>16256.990505917545</v>
      </c>
      <c r="H42" s="57">
        <f t="shared" si="2"/>
        <v>5893159.0583951101</v>
      </c>
      <c r="I42" s="58"/>
      <c r="J42" s="58">
        <f t="shared" si="3"/>
        <v>0</v>
      </c>
      <c r="K42" s="58">
        <f t="shared" si="4"/>
        <v>0</v>
      </c>
      <c r="L42" s="59">
        <f t="shared" si="5"/>
        <v>5893159.0583951101</v>
      </c>
      <c r="M42" s="13">
        <f t="shared" si="6"/>
        <v>97541943.035505265</v>
      </c>
      <c r="N42" s="13">
        <f t="shared" si="7"/>
        <v>35358954350.370659</v>
      </c>
      <c r="O42" s="72">
        <f t="shared" si="10"/>
        <v>31213421.771362305</v>
      </c>
      <c r="P42" s="13">
        <v>166666.66666666666</v>
      </c>
      <c r="Q42" s="72">
        <f t="shared" si="11"/>
        <v>5726492.3917284431</v>
      </c>
      <c r="R42" s="13">
        <f>VLOOKUP(A42,'IDI 18MARZO'!B:D,3,0)</f>
        <v>362.5</v>
      </c>
      <c r="S42" s="72">
        <f t="shared" si="12"/>
        <v>0.31999999999999318</v>
      </c>
    </row>
    <row r="43" spans="1:19" x14ac:dyDescent="0.25">
      <c r="A43" s="88">
        <v>43908</v>
      </c>
      <c r="B43" s="84">
        <v>10</v>
      </c>
      <c r="C43" s="73">
        <f t="shared" si="8"/>
        <v>1.6666666666666666E-2</v>
      </c>
      <c r="D43" s="13">
        <f t="shared" si="9"/>
        <v>361.82</v>
      </c>
      <c r="E43" s="45">
        <f t="shared" si="0"/>
        <v>16256.990505917545</v>
      </c>
      <c r="F43" s="13">
        <f>+M13</f>
        <v>97541943.035505265</v>
      </c>
      <c r="G43" s="47">
        <f t="shared" si="1"/>
        <v>97558200.026011184</v>
      </c>
      <c r="H43" s="57">
        <f t="shared" si="2"/>
        <v>5882104.3048510859</v>
      </c>
      <c r="I43" s="58">
        <f>C6</f>
        <v>35000000000</v>
      </c>
      <c r="J43" s="86">
        <f t="shared" si="3"/>
        <v>292625829.10651398</v>
      </c>
      <c r="K43" s="58">
        <f t="shared" si="4"/>
        <v>35292625829.106514</v>
      </c>
      <c r="L43" s="59">
        <f t="shared" si="5"/>
        <v>35298507933.411362</v>
      </c>
      <c r="M43" s="13">
        <f t="shared" si="6"/>
        <v>0</v>
      </c>
      <c r="N43" s="13">
        <f t="shared" si="7"/>
        <v>0</v>
      </c>
      <c r="O43" s="86">
        <f>SUM(O14:O42)</f>
        <v>358954350.37065887</v>
      </c>
      <c r="P43" s="13">
        <v>166666.66666666666</v>
      </c>
      <c r="Q43" s="72">
        <f t="shared" si="11"/>
        <v>5715437.6381844189</v>
      </c>
      <c r="R43" s="13">
        <f>VLOOKUP(A43,'IDI 18MARZO'!B:D,3,0)</f>
        <v>361.82</v>
      </c>
      <c r="S43" s="72">
        <f t="shared" si="12"/>
        <v>-0.68000000000000682</v>
      </c>
    </row>
    <row r="44" spans="1:19" ht="15.75" thickBot="1" x14ac:dyDescent="0.3">
      <c r="A44" s="15"/>
      <c r="B44" s="15"/>
      <c r="C44" s="15"/>
      <c r="D44" s="16"/>
      <c r="E44" s="48">
        <f>+SUM(E14:E43)</f>
        <v>487709.71517752612</v>
      </c>
      <c r="F44" s="48">
        <f t="shared" ref="F44:N44" si="13">+SUM(F14:F43)</f>
        <v>97541943.035505265</v>
      </c>
      <c r="G44" s="48">
        <f t="shared" si="13"/>
        <v>98029652.750682786</v>
      </c>
      <c r="H44" s="48">
        <f t="shared" si="13"/>
        <v>175711080.76472887</v>
      </c>
      <c r="I44" s="48">
        <f t="shared" si="13"/>
        <v>35000000000</v>
      </c>
      <c r="J44" s="48">
        <f t="shared" si="13"/>
        <v>292625829.10651398</v>
      </c>
      <c r="K44" s="48">
        <f t="shared" si="13"/>
        <v>35292625829.106514</v>
      </c>
      <c r="L44" s="48">
        <f t="shared" si="13"/>
        <v>35468336909.871239</v>
      </c>
      <c r="M44" s="48">
        <f t="shared" si="13"/>
        <v>2828716348.0296531</v>
      </c>
      <c r="N44" s="48">
        <f t="shared" si="13"/>
        <v>1018973858759.2664</v>
      </c>
      <c r="O44" s="72"/>
      <c r="P44" s="13">
        <f>SUM(P14:P43)</f>
        <v>5000000</v>
      </c>
      <c r="Q44" s="72">
        <f>H44-P44</f>
        <v>170711080.76472887</v>
      </c>
    </row>
    <row r="45" spans="1:19" x14ac:dyDescent="0.25">
      <c r="D45" s="17"/>
      <c r="E45" s="18"/>
      <c r="H45" s="72"/>
      <c r="L45" s="72"/>
      <c r="N45" s="13"/>
      <c r="O45" s="72"/>
      <c r="P45" s="13"/>
      <c r="Q45" s="72"/>
    </row>
    <row r="46" spans="1:19" x14ac:dyDescent="0.25">
      <c r="F46" s="17"/>
      <c r="H46" s="13"/>
      <c r="I46" s="13"/>
      <c r="J46" s="13"/>
      <c r="N46" s="72"/>
      <c r="O46" s="93">
        <f>O43-J43</f>
        <v>66328521.264144897</v>
      </c>
      <c r="Q46" s="72"/>
    </row>
    <row r="47" spans="1:19" x14ac:dyDescent="0.25">
      <c r="F47" s="83"/>
      <c r="M47" s="72">
        <f>N42-K43</f>
        <v>66328521.264144897</v>
      </c>
      <c r="O47" s="72"/>
      <c r="Q47" s="72"/>
    </row>
    <row r="48" spans="1:19" x14ac:dyDescent="0.25">
      <c r="F48" s="83"/>
      <c r="O48" s="72"/>
      <c r="Q48" s="72"/>
    </row>
    <row r="49" spans="3:17" x14ac:dyDescent="0.25">
      <c r="F49" s="83"/>
      <c r="O49" s="72"/>
      <c r="Q49" s="72"/>
    </row>
    <row r="50" spans="3:17" x14ac:dyDescent="0.25">
      <c r="F50" s="83"/>
      <c r="O50" s="72"/>
      <c r="Q50" s="72"/>
    </row>
    <row r="51" spans="3:17" x14ac:dyDescent="0.25">
      <c r="C51" s="19"/>
      <c r="F51" s="83"/>
      <c r="O51" s="72"/>
      <c r="Q51" s="72"/>
    </row>
    <row r="52" spans="3:17" x14ac:dyDescent="0.25">
      <c r="F52" s="83"/>
    </row>
    <row r="53" spans="3:17" x14ac:dyDescent="0.25">
      <c r="F53" s="83"/>
    </row>
    <row r="54" spans="3:17" x14ac:dyDescent="0.25">
      <c r="F54" s="83"/>
    </row>
    <row r="55" spans="3:17" x14ac:dyDescent="0.25">
      <c r="F55" s="83"/>
    </row>
  </sheetData>
  <protectedRanges>
    <protectedRange algorithmName="SHA-512" hashValue="kG6M/d6nwqOl97rw8m5KlLgos+1/3hcJCdaCrVQOKuBRXS5qeh92GhlKeERPL3f3a+TqkCfBtSyWebXnBJqbiA==" saltValue="faoEk/nHi9bZaD3Cpywyaw==" spinCount="100000" sqref="C1:D9 A1:A9" name="Rango1"/>
  </protectedRanges>
  <mergeCells count="3">
    <mergeCell ref="E10:G10"/>
    <mergeCell ref="H10:L10"/>
    <mergeCell ref="I11:K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opLeftCell="A23" zoomScale="70" zoomScaleNormal="70" workbookViewId="0">
      <selection activeCell="C13" sqref="C13"/>
    </sheetView>
  </sheetViews>
  <sheetFormatPr baseColWidth="10" defaultRowHeight="15" x14ac:dyDescent="0.25"/>
  <cols>
    <col min="1" max="1" width="25.7109375" style="146" customWidth="1"/>
    <col min="2" max="2" width="11.85546875" style="146" hidden="1" customWidth="1"/>
    <col min="3" max="3" width="13.85546875" style="146" customWidth="1"/>
    <col min="4" max="4" width="23.5703125" style="146" customWidth="1"/>
    <col min="5" max="5" width="22.85546875" style="146" customWidth="1"/>
    <col min="6" max="6" width="17.85546875" style="146" customWidth="1"/>
    <col min="7" max="7" width="17.42578125" style="146" customWidth="1"/>
    <col min="8" max="8" width="17.42578125" style="146" bestFit="1" customWidth="1"/>
    <col min="9" max="9" width="18.85546875" style="146" customWidth="1"/>
    <col min="10" max="10" width="24.5703125" style="146" customWidth="1"/>
    <col min="11" max="11" width="19.140625" style="146" customWidth="1"/>
    <col min="12" max="12" width="19.85546875" style="146" customWidth="1"/>
    <col min="13" max="13" width="18.42578125" style="146" customWidth="1"/>
    <col min="14" max="14" width="27.140625" style="146" customWidth="1"/>
    <col min="15" max="15" width="20.140625" style="146" hidden="1" customWidth="1"/>
    <col min="16" max="16" width="19.5703125" style="146" hidden="1" customWidth="1"/>
    <col min="17" max="17" width="18.28515625" style="146" hidden="1" customWidth="1"/>
    <col min="18" max="18" width="14.140625" style="146" hidden="1" customWidth="1"/>
    <col min="19" max="19" width="14.42578125" style="146" hidden="1" customWidth="1"/>
    <col min="20" max="20" width="14.85546875" style="146" hidden="1" customWidth="1"/>
    <col min="21" max="21" width="15.42578125" style="146" hidden="1" customWidth="1"/>
    <col min="22" max="23" width="0" style="146" hidden="1" customWidth="1"/>
    <col min="24" max="16384" width="11.42578125" style="146"/>
  </cols>
  <sheetData>
    <row r="1" spans="1:14" x14ac:dyDescent="0.25">
      <c r="A1" s="146" t="s">
        <v>52</v>
      </c>
      <c r="C1" s="146">
        <v>43816</v>
      </c>
    </row>
    <row r="2" spans="1:14" x14ac:dyDescent="0.25">
      <c r="A2" s="146" t="s">
        <v>91</v>
      </c>
      <c r="C2" s="146" t="s">
        <v>84</v>
      </c>
    </row>
    <row r="3" spans="1:14" ht="15.75" thickBot="1" x14ac:dyDescent="0.3">
      <c r="K3" s="146" t="s">
        <v>41</v>
      </c>
    </row>
    <row r="4" spans="1:14" ht="15.75" x14ac:dyDescent="0.25">
      <c r="A4" s="147" t="s">
        <v>77</v>
      </c>
      <c r="C4" s="148">
        <v>6</v>
      </c>
      <c r="K4" s="146" t="s">
        <v>42</v>
      </c>
    </row>
    <row r="5" spans="1:14" ht="15.75" x14ac:dyDescent="0.25">
      <c r="A5" s="149" t="s">
        <v>1</v>
      </c>
      <c r="C5" s="150">
        <f>+C4/12</f>
        <v>0.5</v>
      </c>
      <c r="D5" s="151">
        <f>+C4/360</f>
        <v>1.6666666666666666E-2</v>
      </c>
      <c r="K5" s="146" t="s">
        <v>43</v>
      </c>
    </row>
    <row r="6" spans="1:14" ht="15.75" x14ac:dyDescent="0.25">
      <c r="A6" s="149" t="s">
        <v>3</v>
      </c>
      <c r="C6" s="150" t="s">
        <v>47</v>
      </c>
      <c r="G6" s="152">
        <f>F45*D45</f>
        <v>0</v>
      </c>
      <c r="K6" s="146" t="s">
        <v>42</v>
      </c>
      <c r="M6" s="153"/>
      <c r="N6" s="153"/>
    </row>
    <row r="7" spans="1:14" ht="78.75" hidden="1" x14ac:dyDescent="0.25">
      <c r="A7" s="154" t="s">
        <v>4</v>
      </c>
      <c r="C7" s="155">
        <v>629.39537065264267</v>
      </c>
      <c r="G7" s="153"/>
      <c r="M7" s="153"/>
      <c r="N7" s="153"/>
    </row>
    <row r="8" spans="1:14" ht="32.25" hidden="1" thickBot="1" x14ac:dyDescent="0.3">
      <c r="A8" s="156" t="s">
        <v>5</v>
      </c>
      <c r="C8" s="157"/>
      <c r="G8" s="153"/>
      <c r="M8" s="153"/>
      <c r="N8" s="153"/>
    </row>
    <row r="9" spans="1:14" ht="16.5" thickBot="1" x14ac:dyDescent="0.3">
      <c r="A9" s="158"/>
      <c r="C9" s="159"/>
      <c r="G9" s="153"/>
      <c r="M9" s="153"/>
      <c r="N9" s="153"/>
    </row>
    <row r="10" spans="1:14" ht="45.75" thickBot="1" x14ac:dyDescent="0.3">
      <c r="A10" s="160"/>
      <c r="B10" s="160"/>
      <c r="C10" s="161" t="s">
        <v>67</v>
      </c>
      <c r="D10" s="161" t="s">
        <v>90</v>
      </c>
      <c r="E10" s="162"/>
      <c r="F10" s="161" t="s">
        <v>79</v>
      </c>
      <c r="H10" s="163" t="s">
        <v>68</v>
      </c>
      <c r="M10" s="153"/>
      <c r="N10" s="153"/>
    </row>
    <row r="11" spans="1:14" ht="15.75" x14ac:dyDescent="0.25">
      <c r="A11" s="149" t="s">
        <v>16</v>
      </c>
      <c r="D11" s="164">
        <v>35000000000</v>
      </c>
      <c r="G11" s="153"/>
      <c r="K11" s="146" t="s">
        <v>42</v>
      </c>
      <c r="M11" s="153"/>
      <c r="N11" s="153"/>
    </row>
    <row r="12" spans="1:14" x14ac:dyDescent="0.25">
      <c r="A12" s="165" t="s">
        <v>69</v>
      </c>
      <c r="C12" s="217">
        <v>0.2</v>
      </c>
      <c r="D12" s="166">
        <f>D11*C12</f>
        <v>7000000000</v>
      </c>
      <c r="E12" s="167"/>
      <c r="F12" s="168"/>
      <c r="H12" s="116">
        <f>C12*12</f>
        <v>2.4000000000000004</v>
      </c>
      <c r="M12" s="153"/>
      <c r="N12" s="153"/>
    </row>
    <row r="13" spans="1:14" ht="15.75" thickBot="1" x14ac:dyDescent="0.3">
      <c r="A13" s="169" t="s">
        <v>78</v>
      </c>
      <c r="C13" s="218">
        <v>0.105</v>
      </c>
      <c r="D13" s="170">
        <f>-D11*C13</f>
        <v>-3675000000</v>
      </c>
      <c r="E13" s="171"/>
      <c r="F13" s="172">
        <f>D12+D13</f>
        <v>3325000000</v>
      </c>
      <c r="H13" s="116">
        <f>C13*12</f>
        <v>1.26</v>
      </c>
      <c r="M13" s="153"/>
      <c r="N13" s="153"/>
    </row>
    <row r="14" spans="1:14" x14ac:dyDescent="0.25">
      <c r="H14" s="116"/>
      <c r="M14" s="153"/>
      <c r="N14" s="153"/>
    </row>
    <row r="15" spans="1:14" ht="15.75" thickBot="1" x14ac:dyDescent="0.3">
      <c r="H15" s="116"/>
      <c r="M15" s="153"/>
      <c r="N15" s="153"/>
    </row>
    <row r="16" spans="1:14" x14ac:dyDescent="0.25">
      <c r="A16" s="173" t="s">
        <v>70</v>
      </c>
      <c r="C16" s="174"/>
      <c r="D16" s="174"/>
      <c r="E16" s="174"/>
      <c r="F16" s="174"/>
      <c r="G16" s="174"/>
      <c r="H16" s="221"/>
      <c r="M16" s="153"/>
      <c r="N16" s="153"/>
    </row>
    <row r="17" spans="1:14" x14ac:dyDescent="0.25">
      <c r="A17" s="175" t="s">
        <v>71</v>
      </c>
      <c r="C17" s="219">
        <v>5.0000000000000001E-3</v>
      </c>
      <c r="D17" s="176"/>
      <c r="E17" s="176"/>
      <c r="F17" s="176">
        <f>C17</f>
        <v>5.0000000000000001E-3</v>
      </c>
      <c r="G17" s="176"/>
      <c r="H17" s="128">
        <f t="shared" ref="H17:H19" si="0">C17*12</f>
        <v>0.06</v>
      </c>
      <c r="M17" s="153"/>
      <c r="N17" s="153"/>
    </row>
    <row r="18" spans="1:14" x14ac:dyDescent="0.25">
      <c r="A18" s="175" t="s">
        <v>72</v>
      </c>
      <c r="C18" s="219">
        <v>5.0000000000000001E-3</v>
      </c>
      <c r="D18" s="176"/>
      <c r="E18" s="176"/>
      <c r="F18" s="176">
        <v>0</v>
      </c>
      <c r="G18" s="176"/>
      <c r="H18" s="128">
        <f t="shared" si="0"/>
        <v>0.06</v>
      </c>
      <c r="M18" s="153"/>
      <c r="N18" s="153"/>
    </row>
    <row r="19" spans="1:14" ht="15.75" thickBot="1" x14ac:dyDescent="0.3">
      <c r="A19" s="177" t="s">
        <v>73</v>
      </c>
      <c r="C19" s="220">
        <f>C12-C17-C18</f>
        <v>0.19</v>
      </c>
      <c r="D19" s="178" t="s">
        <v>76</v>
      </c>
      <c r="E19" s="178"/>
      <c r="F19" s="178">
        <f>C19+C18</f>
        <v>0.19500000000000001</v>
      </c>
      <c r="G19" s="178"/>
      <c r="H19" s="132">
        <f t="shared" si="0"/>
        <v>2.2800000000000002</v>
      </c>
      <c r="M19" s="153"/>
      <c r="N19" s="153"/>
    </row>
    <row r="20" spans="1:14" x14ac:dyDescent="0.25">
      <c r="M20" s="153"/>
      <c r="N20" s="153"/>
    </row>
    <row r="21" spans="1:14" x14ac:dyDescent="0.25">
      <c r="M21" s="153"/>
      <c r="N21" s="153"/>
    </row>
    <row r="22" spans="1:14" x14ac:dyDescent="0.25">
      <c r="A22" s="146" t="s">
        <v>74</v>
      </c>
      <c r="M22" s="153"/>
      <c r="N22" s="153"/>
    </row>
    <row r="23" spans="1:14" x14ac:dyDescent="0.25">
      <c r="A23" s="146" t="s">
        <v>75</v>
      </c>
      <c r="M23" s="153"/>
      <c r="N23" s="153"/>
    </row>
    <row r="24" spans="1:14" ht="36.75" customHeight="1" x14ac:dyDescent="0.25">
      <c r="A24" s="242" t="s">
        <v>94</v>
      </c>
      <c r="B24" s="242"/>
      <c r="C24" s="242"/>
      <c r="D24" s="242"/>
      <c r="E24" s="242"/>
      <c r="F24" s="242"/>
      <c r="G24" s="242"/>
      <c r="M24" s="153"/>
      <c r="N24" s="153"/>
    </row>
    <row r="25" spans="1:14" ht="34.5" customHeight="1" x14ac:dyDescent="0.25">
      <c r="A25" s="158" t="s">
        <v>95</v>
      </c>
      <c r="C25" s="159">
        <v>30</v>
      </c>
      <c r="D25" s="179" t="s">
        <v>92</v>
      </c>
      <c r="E25" s="163" t="s">
        <v>85</v>
      </c>
      <c r="F25" s="163" t="s">
        <v>86</v>
      </c>
      <c r="G25" s="163" t="s">
        <v>87</v>
      </c>
      <c r="M25" s="153"/>
      <c r="N25" s="153"/>
    </row>
    <row r="26" spans="1:14" ht="29.25" customHeight="1" x14ac:dyDescent="0.25">
      <c r="A26" s="180" t="s">
        <v>80</v>
      </c>
      <c r="C26" s="159" t="s">
        <v>1</v>
      </c>
      <c r="D26" s="146">
        <f>H75</f>
        <v>169215150.75702816</v>
      </c>
      <c r="G26" s="153"/>
      <c r="M26" s="153"/>
      <c r="N26" s="153"/>
    </row>
    <row r="27" spans="1:14" ht="32.25" customHeight="1" x14ac:dyDescent="0.25">
      <c r="A27" s="158" t="s">
        <v>81</v>
      </c>
      <c r="C27" s="159" t="s">
        <v>93</v>
      </c>
      <c r="D27" s="146">
        <f>I74</f>
        <v>35000000000</v>
      </c>
      <c r="G27" s="153"/>
      <c r="M27" s="153"/>
      <c r="N27" s="153"/>
    </row>
    <row r="28" spans="1:14" ht="14.25" customHeight="1" x14ac:dyDescent="0.25">
      <c r="A28" s="158" t="s">
        <v>82</v>
      </c>
      <c r="C28" s="159" t="str">
        <f>C2</f>
        <v>90 dias</v>
      </c>
      <c r="D28" s="146">
        <f>J75</f>
        <v>50592094.29032135</v>
      </c>
      <c r="G28" s="153"/>
      <c r="M28" s="153"/>
      <c r="N28" s="153"/>
    </row>
    <row r="29" spans="1:14" ht="18" customHeight="1" x14ac:dyDescent="0.25">
      <c r="A29" s="158" t="s">
        <v>88</v>
      </c>
      <c r="C29" s="159" t="s">
        <v>1</v>
      </c>
      <c r="D29" s="146">
        <f>D12</f>
        <v>7000000000</v>
      </c>
      <c r="G29" s="153"/>
      <c r="M29" s="153"/>
      <c r="N29" s="153"/>
    </row>
    <row r="30" spans="1:14" ht="30" customHeight="1" thickBot="1" x14ac:dyDescent="0.3">
      <c r="A30" s="158" t="s">
        <v>83</v>
      </c>
      <c r="C30" s="159"/>
      <c r="D30" s="181">
        <f>SUM(D26:D29)</f>
        <v>42219807245.047348</v>
      </c>
      <c r="E30" s="223">
        <f>D39/D27</f>
        <v>0.2062802070013528</v>
      </c>
      <c r="F30" s="223"/>
      <c r="G30" s="139"/>
      <c r="M30" s="153"/>
      <c r="N30" s="153"/>
    </row>
    <row r="31" spans="1:14" ht="16.5" thickTop="1" x14ac:dyDescent="0.25">
      <c r="A31" s="158"/>
      <c r="C31" s="159"/>
      <c r="G31" s="153"/>
      <c r="M31" s="153"/>
      <c r="N31" s="153"/>
    </row>
    <row r="32" spans="1:14" ht="15.75" hidden="1" x14ac:dyDescent="0.25">
      <c r="A32" s="158"/>
      <c r="C32" s="159"/>
      <c r="G32" s="153"/>
      <c r="M32" s="153"/>
      <c r="N32" s="153"/>
    </row>
    <row r="33" spans="1:19" ht="15.75" hidden="1" x14ac:dyDescent="0.25">
      <c r="A33" s="158"/>
      <c r="C33" s="159"/>
      <c r="E33" s="146">
        <f>D27*E30</f>
        <v>7219807245.047348</v>
      </c>
      <c r="G33" s="153"/>
      <c r="M33" s="153"/>
      <c r="N33" s="153"/>
    </row>
    <row r="34" spans="1:19" ht="15.75" hidden="1" x14ac:dyDescent="0.25">
      <c r="A34" s="158"/>
      <c r="C34" s="159"/>
      <c r="E34" s="146">
        <f>E33*3</f>
        <v>21659421735.142044</v>
      </c>
      <c r="F34" s="146">
        <f>D27*F30</f>
        <v>0</v>
      </c>
      <c r="G34" s="153"/>
      <c r="M34" s="153"/>
      <c r="N34" s="153"/>
    </row>
    <row r="35" spans="1:19" ht="15.75" hidden="1" x14ac:dyDescent="0.25">
      <c r="A35" s="158"/>
      <c r="C35" s="159"/>
      <c r="E35" s="146">
        <f>E34*4</f>
        <v>86637686940.568176</v>
      </c>
      <c r="G35" s="152">
        <f>D27*G30</f>
        <v>0</v>
      </c>
      <c r="M35" s="153"/>
      <c r="N35" s="153"/>
    </row>
    <row r="36" spans="1:19" ht="15.75" hidden="1" x14ac:dyDescent="0.25">
      <c r="A36" s="158"/>
      <c r="C36" s="159"/>
      <c r="G36" s="153"/>
      <c r="M36" s="153"/>
      <c r="N36" s="153"/>
    </row>
    <row r="37" spans="1:19" ht="15.75" hidden="1" x14ac:dyDescent="0.25">
      <c r="A37" s="158"/>
      <c r="C37" s="159"/>
      <c r="G37" s="153"/>
      <c r="M37" s="153"/>
      <c r="N37" s="153"/>
    </row>
    <row r="38" spans="1:19" ht="15.75" x14ac:dyDescent="0.25">
      <c r="A38" s="158"/>
      <c r="C38" s="159"/>
      <c r="G38" s="153"/>
      <c r="M38" s="153"/>
      <c r="N38" s="153"/>
    </row>
    <row r="39" spans="1:19" ht="15.75" x14ac:dyDescent="0.25">
      <c r="A39" s="158"/>
      <c r="C39" s="159" t="s">
        <v>97</v>
      </c>
      <c r="D39" s="146">
        <f>D30-D27</f>
        <v>7219807245.047348</v>
      </c>
      <c r="E39" s="146">
        <f>D27*E30</f>
        <v>7219807245.047348</v>
      </c>
      <c r="F39" s="146">
        <f>D27*F30</f>
        <v>0</v>
      </c>
      <c r="G39" s="153"/>
      <c r="M39" s="153"/>
      <c r="N39" s="153"/>
    </row>
    <row r="40" spans="1:19" ht="16.5" thickBot="1" x14ac:dyDescent="0.3">
      <c r="A40" s="158"/>
      <c r="C40" s="159"/>
      <c r="G40" s="153"/>
      <c r="M40" s="153"/>
      <c r="N40" s="153"/>
    </row>
    <row r="41" spans="1:19" ht="43.5" customHeight="1" thickBot="1" x14ac:dyDescent="0.3">
      <c r="B41" s="152"/>
      <c r="D41" s="153"/>
      <c r="E41" s="243" t="s">
        <v>6</v>
      </c>
      <c r="F41" s="244"/>
      <c r="G41" s="245"/>
      <c r="H41" s="246" t="s">
        <v>7</v>
      </c>
      <c r="I41" s="247"/>
      <c r="J41" s="247"/>
      <c r="K41" s="247"/>
      <c r="L41" s="248"/>
      <c r="M41" s="153"/>
      <c r="N41" s="153"/>
    </row>
    <row r="42" spans="1:19" ht="30.75" customHeight="1" thickBot="1" x14ac:dyDescent="0.3">
      <c r="A42" s="182" t="s">
        <v>51</v>
      </c>
      <c r="B42" s="182" t="s">
        <v>8</v>
      </c>
      <c r="C42" s="182" t="s">
        <v>9</v>
      </c>
      <c r="D42" s="182" t="s">
        <v>10</v>
      </c>
      <c r="E42" s="183" t="s">
        <v>11</v>
      </c>
      <c r="F42" s="184" t="s">
        <v>3</v>
      </c>
      <c r="G42" s="185" t="s">
        <v>12</v>
      </c>
      <c r="H42" s="186" t="s">
        <v>11</v>
      </c>
      <c r="I42" s="249" t="s">
        <v>3</v>
      </c>
      <c r="J42" s="250"/>
      <c r="K42" s="251"/>
      <c r="L42" s="187" t="s">
        <v>12</v>
      </c>
      <c r="M42" s="182" t="s">
        <v>13</v>
      </c>
      <c r="N42" s="182" t="s">
        <v>14</v>
      </c>
      <c r="P42" s="146" t="s">
        <v>44</v>
      </c>
      <c r="Q42" s="146" t="s">
        <v>45</v>
      </c>
    </row>
    <row r="43" spans="1:19" ht="30" x14ac:dyDescent="0.25">
      <c r="B43" s="188"/>
      <c r="C43" s="188"/>
      <c r="D43" s="188"/>
      <c r="E43" s="189"/>
      <c r="F43" s="190"/>
      <c r="G43" s="191"/>
      <c r="H43" s="192"/>
      <c r="I43" s="193" t="s">
        <v>26</v>
      </c>
      <c r="J43" s="193" t="s">
        <v>27</v>
      </c>
      <c r="K43" s="193" t="s">
        <v>15</v>
      </c>
      <c r="L43" s="194"/>
      <c r="M43" s="188"/>
      <c r="N43" s="188"/>
      <c r="O43" s="195" t="s">
        <v>48</v>
      </c>
      <c r="P43" s="195" t="s">
        <v>40</v>
      </c>
      <c r="Q43" s="195" t="s">
        <v>46</v>
      </c>
    </row>
    <row r="44" spans="1:19" x14ac:dyDescent="0.25">
      <c r="A44" s="216">
        <v>43876</v>
      </c>
      <c r="B44" s="196"/>
      <c r="C44" s="196"/>
      <c r="D44" s="13">
        <v>359.74</v>
      </c>
      <c r="E44" s="197"/>
      <c r="F44" s="198"/>
      <c r="G44" s="199"/>
      <c r="H44" s="200"/>
      <c r="I44" s="201"/>
      <c r="J44" s="201"/>
      <c r="K44" s="201"/>
      <c r="L44" s="202"/>
      <c r="M44" s="146">
        <f>+D11/D44</f>
        <v>97292489.019847661</v>
      </c>
      <c r="N44" s="146">
        <f>D11</f>
        <v>35000000000</v>
      </c>
      <c r="R44" s="146">
        <f>VLOOKUP(A44,'IDI 18MARZO'!B:D,3,0)</f>
        <v>359.74</v>
      </c>
    </row>
    <row r="45" spans="1:19" x14ac:dyDescent="0.25">
      <c r="A45" s="216">
        <v>43877</v>
      </c>
      <c r="B45" s="203">
        <v>20</v>
      </c>
      <c r="C45" s="204">
        <f>+C4/360</f>
        <v>1.6666666666666666E-2</v>
      </c>
      <c r="D45" s="13">
        <v>359.74</v>
      </c>
      <c r="E45" s="205">
        <f t="shared" ref="E45:E73" si="1">+M44*C45/100</f>
        <v>16215.414836641277</v>
      </c>
      <c r="F45" s="206"/>
      <c r="G45" s="207">
        <f t="shared" ref="G45:G73" si="2">+E45+F45</f>
        <v>16215.414836641277</v>
      </c>
      <c r="H45" s="208">
        <f t="shared" ref="H45:H73" si="3">+E45*D45</f>
        <v>5833333.333333333</v>
      </c>
      <c r="I45" s="209"/>
      <c r="J45" s="209">
        <f t="shared" ref="J45:J72" si="4">+F45*D45-I45</f>
        <v>0</v>
      </c>
      <c r="K45" s="209">
        <f t="shared" ref="K45:K72" si="5">+F45*D45</f>
        <v>0</v>
      </c>
      <c r="L45" s="210">
        <f t="shared" ref="L45:L73" si="6">+H45+K45</f>
        <v>5833333.333333333</v>
      </c>
      <c r="M45" s="146">
        <f>+M44-F45</f>
        <v>97292489.019847661</v>
      </c>
      <c r="N45" s="146">
        <f t="shared" ref="N45:N73" si="7">+M45*D45</f>
        <v>35000000000</v>
      </c>
      <c r="O45" s="146">
        <f>+N45-N44</f>
        <v>0</v>
      </c>
      <c r="P45" s="146">
        <v>166666.66666666666</v>
      </c>
      <c r="Q45" s="146">
        <f>H45-P45</f>
        <v>5666666.666666666</v>
      </c>
      <c r="R45" s="146">
        <f>VLOOKUP(A45,'IDI 18MARZO'!B:D,3,0)</f>
        <v>359.74</v>
      </c>
      <c r="S45" s="146">
        <f>R45-R44</f>
        <v>0</v>
      </c>
    </row>
    <row r="46" spans="1:19" x14ac:dyDescent="0.25">
      <c r="A46" s="216">
        <v>43878</v>
      </c>
      <c r="B46" s="203">
        <v>20</v>
      </c>
      <c r="C46" s="204">
        <f t="shared" ref="C46:C73" si="8">+C45</f>
        <v>1.6666666666666666E-2</v>
      </c>
      <c r="D46" s="13">
        <v>358.82</v>
      </c>
      <c r="E46" s="205">
        <f t="shared" si="1"/>
        <v>16215.414836641277</v>
      </c>
      <c r="F46" s="206"/>
      <c r="G46" s="207">
        <f t="shared" si="2"/>
        <v>16215.414836641277</v>
      </c>
      <c r="H46" s="208">
        <f t="shared" si="3"/>
        <v>5818415.151683623</v>
      </c>
      <c r="I46" s="209"/>
      <c r="J46" s="209">
        <f t="shared" si="4"/>
        <v>0</v>
      </c>
      <c r="K46" s="209">
        <f t="shared" si="5"/>
        <v>0</v>
      </c>
      <c r="L46" s="210">
        <f t="shared" si="6"/>
        <v>5818415.151683623</v>
      </c>
      <c r="M46" s="146">
        <f>+M45-F46</f>
        <v>97292489.019847661</v>
      </c>
      <c r="N46" s="146">
        <f t="shared" si="7"/>
        <v>34910490910.101738</v>
      </c>
      <c r="O46" s="146">
        <f t="shared" ref="O46:O73" si="9">+N46-N45</f>
        <v>-89509089.898262024</v>
      </c>
      <c r="P46" s="146">
        <v>166666.66666666666</v>
      </c>
      <c r="Q46" s="146">
        <f t="shared" ref="Q46:Q73" si="10">H46-P46</f>
        <v>5651748.485016956</v>
      </c>
      <c r="R46" s="146">
        <f>VLOOKUP(A46,'IDI 18MARZO'!B:D,3,0)</f>
        <v>358.82</v>
      </c>
      <c r="S46" s="146">
        <f t="shared" ref="S46:S73" si="11">R46-R45</f>
        <v>-0.92000000000001592</v>
      </c>
    </row>
    <row r="47" spans="1:19" x14ac:dyDescent="0.25">
      <c r="A47" s="216">
        <v>43879</v>
      </c>
      <c r="B47" s="203">
        <v>20</v>
      </c>
      <c r="C47" s="204">
        <f t="shared" si="8"/>
        <v>1.6666666666666666E-2</v>
      </c>
      <c r="D47" s="13">
        <v>359.2</v>
      </c>
      <c r="E47" s="205">
        <f t="shared" si="1"/>
        <v>16215.414836641277</v>
      </c>
      <c r="F47" s="206"/>
      <c r="G47" s="207">
        <f t="shared" si="2"/>
        <v>16215.414836641277</v>
      </c>
      <c r="H47" s="208">
        <f t="shared" si="3"/>
        <v>5824577.0093215462</v>
      </c>
      <c r="I47" s="209"/>
      <c r="J47" s="209">
        <f t="shared" si="4"/>
        <v>0</v>
      </c>
      <c r="K47" s="209">
        <f t="shared" si="5"/>
        <v>0</v>
      </c>
      <c r="L47" s="210">
        <f t="shared" si="6"/>
        <v>5824577.0093215462</v>
      </c>
      <c r="M47" s="146">
        <f t="shared" ref="M47:M72" si="12">+M46-F47</f>
        <v>97292489.019847661</v>
      </c>
      <c r="N47" s="146">
        <f t="shared" si="7"/>
        <v>34947462055.929276</v>
      </c>
      <c r="O47" s="146">
        <f t="shared" si="9"/>
        <v>36971145.827537537</v>
      </c>
      <c r="P47" s="146">
        <v>166666.66666666666</v>
      </c>
      <c r="Q47" s="146">
        <f t="shared" si="10"/>
        <v>5657910.3426548792</v>
      </c>
      <c r="R47" s="146">
        <f>VLOOKUP(A47,'IDI 18MARZO'!B:D,3,0)</f>
        <v>359.2</v>
      </c>
      <c r="S47" s="146">
        <f t="shared" si="11"/>
        <v>0.37999999999999545</v>
      </c>
    </row>
    <row r="48" spans="1:19" x14ac:dyDescent="0.25">
      <c r="A48" s="216">
        <v>43880</v>
      </c>
      <c r="B48" s="203">
        <v>20</v>
      </c>
      <c r="C48" s="204">
        <f t="shared" si="8"/>
        <v>1.6666666666666666E-2</v>
      </c>
      <c r="D48" s="13">
        <v>360.67</v>
      </c>
      <c r="E48" s="205">
        <f t="shared" si="1"/>
        <v>16215.414836641277</v>
      </c>
      <c r="F48" s="206"/>
      <c r="G48" s="207">
        <f t="shared" si="2"/>
        <v>16215.414836641277</v>
      </c>
      <c r="H48" s="208">
        <f t="shared" si="3"/>
        <v>5848413.6691314094</v>
      </c>
      <c r="I48" s="209"/>
      <c r="J48" s="209">
        <f t="shared" si="4"/>
        <v>0</v>
      </c>
      <c r="K48" s="209">
        <f t="shared" si="5"/>
        <v>0</v>
      </c>
      <c r="L48" s="210">
        <f t="shared" si="6"/>
        <v>5848413.6691314094</v>
      </c>
      <c r="M48" s="146">
        <f t="shared" si="12"/>
        <v>97292489.019847661</v>
      </c>
      <c r="N48" s="146">
        <f t="shared" si="7"/>
        <v>35090482014.78846</v>
      </c>
      <c r="O48" s="146">
        <f t="shared" si="9"/>
        <v>143019958.85918427</v>
      </c>
      <c r="P48" s="146">
        <v>166666.66666666666</v>
      </c>
      <c r="Q48" s="146">
        <f t="shared" si="10"/>
        <v>5681747.0024647424</v>
      </c>
      <c r="R48" s="146">
        <f>VLOOKUP(A48,'IDI 18MARZO'!B:D,3,0)</f>
        <v>360.67</v>
      </c>
      <c r="S48" s="146">
        <f t="shared" si="11"/>
        <v>1.4700000000000273</v>
      </c>
    </row>
    <row r="49" spans="1:19" x14ac:dyDescent="0.25">
      <c r="A49" s="216">
        <v>43881</v>
      </c>
      <c r="B49" s="203">
        <v>15</v>
      </c>
      <c r="C49" s="204">
        <f t="shared" si="8"/>
        <v>1.6666666666666666E-2</v>
      </c>
      <c r="D49" s="13">
        <v>360.61</v>
      </c>
      <c r="E49" s="205">
        <f t="shared" si="1"/>
        <v>16215.414836641277</v>
      </c>
      <c r="F49" s="206"/>
      <c r="G49" s="207">
        <f t="shared" si="2"/>
        <v>16215.414836641277</v>
      </c>
      <c r="H49" s="208">
        <f t="shared" si="3"/>
        <v>5847440.7442412116</v>
      </c>
      <c r="I49" s="209"/>
      <c r="J49" s="209">
        <f t="shared" si="4"/>
        <v>0</v>
      </c>
      <c r="K49" s="209">
        <f t="shared" si="5"/>
        <v>0</v>
      </c>
      <c r="L49" s="210">
        <f t="shared" si="6"/>
        <v>5847440.7442412116</v>
      </c>
      <c r="M49" s="146">
        <f t="shared" si="12"/>
        <v>97292489.019847661</v>
      </c>
      <c r="N49" s="146">
        <f t="shared" si="7"/>
        <v>35084644465.447266</v>
      </c>
      <c r="O49" s="146">
        <f t="shared" si="9"/>
        <v>-5837549.3411941528</v>
      </c>
      <c r="P49" s="146">
        <v>166666.66666666666</v>
      </c>
      <c r="Q49" s="146">
        <f t="shared" si="10"/>
        <v>5680774.0775745446</v>
      </c>
      <c r="R49" s="146">
        <f>VLOOKUP(A49,'IDI 18MARZO'!B:D,3,0)</f>
        <v>360.61</v>
      </c>
      <c r="S49" s="146">
        <f t="shared" si="11"/>
        <v>-6.0000000000002274E-2</v>
      </c>
    </row>
    <row r="50" spans="1:19" x14ac:dyDescent="0.25">
      <c r="A50" s="216">
        <v>43882</v>
      </c>
      <c r="B50" s="203">
        <v>15</v>
      </c>
      <c r="C50" s="204">
        <f t="shared" si="8"/>
        <v>1.6666666666666666E-2</v>
      </c>
      <c r="D50" s="13">
        <v>360.74</v>
      </c>
      <c r="E50" s="205">
        <f t="shared" si="1"/>
        <v>16215.414836641277</v>
      </c>
      <c r="F50" s="206"/>
      <c r="G50" s="207">
        <f t="shared" si="2"/>
        <v>16215.414836641277</v>
      </c>
      <c r="H50" s="208">
        <f t="shared" si="3"/>
        <v>5849548.7481699744</v>
      </c>
      <c r="I50" s="209"/>
      <c r="J50" s="209">
        <f t="shared" si="4"/>
        <v>0</v>
      </c>
      <c r="K50" s="209">
        <f t="shared" si="5"/>
        <v>0</v>
      </c>
      <c r="L50" s="210">
        <f t="shared" si="6"/>
        <v>5849548.7481699744</v>
      </c>
      <c r="M50" s="146">
        <f t="shared" si="12"/>
        <v>97292489.019847661</v>
      </c>
      <c r="N50" s="146">
        <f t="shared" si="7"/>
        <v>35097292489.019844</v>
      </c>
      <c r="O50" s="146">
        <f t="shared" si="9"/>
        <v>12648023.57257843</v>
      </c>
      <c r="P50" s="146">
        <v>166666.66666666666</v>
      </c>
      <c r="Q50" s="146">
        <f t="shared" si="10"/>
        <v>5682882.0815033074</v>
      </c>
      <c r="R50" s="146">
        <f>VLOOKUP(A50,'IDI 18MARZO'!B:D,3,0)</f>
        <v>360.74</v>
      </c>
      <c r="S50" s="146">
        <f t="shared" si="11"/>
        <v>0.12999999999999545</v>
      </c>
    </row>
    <row r="51" spans="1:19" x14ac:dyDescent="0.25">
      <c r="A51" s="216">
        <v>43883</v>
      </c>
      <c r="B51" s="203">
        <v>15</v>
      </c>
      <c r="C51" s="204">
        <f t="shared" si="8"/>
        <v>1.6666666666666666E-2</v>
      </c>
      <c r="D51" s="13">
        <v>360.74</v>
      </c>
      <c r="E51" s="205">
        <f t="shared" si="1"/>
        <v>16215.414836641277</v>
      </c>
      <c r="F51" s="206"/>
      <c r="G51" s="207">
        <f t="shared" si="2"/>
        <v>16215.414836641277</v>
      </c>
      <c r="H51" s="208">
        <f t="shared" si="3"/>
        <v>5849548.7481699744</v>
      </c>
      <c r="I51" s="209"/>
      <c r="J51" s="209">
        <f t="shared" si="4"/>
        <v>0</v>
      </c>
      <c r="K51" s="209">
        <f t="shared" si="5"/>
        <v>0</v>
      </c>
      <c r="L51" s="210">
        <f t="shared" si="6"/>
        <v>5849548.7481699744</v>
      </c>
      <c r="M51" s="146">
        <f t="shared" si="12"/>
        <v>97292489.019847661</v>
      </c>
      <c r="N51" s="146">
        <f t="shared" si="7"/>
        <v>35097292489.019844</v>
      </c>
      <c r="O51" s="146">
        <f t="shared" si="9"/>
        <v>0</v>
      </c>
      <c r="P51" s="146">
        <v>166666.66666666666</v>
      </c>
      <c r="Q51" s="146">
        <f t="shared" si="10"/>
        <v>5682882.0815033074</v>
      </c>
      <c r="R51" s="146">
        <f>VLOOKUP(A51,'IDI 18MARZO'!B:D,3,0)</f>
        <v>360.74</v>
      </c>
      <c r="S51" s="146">
        <f t="shared" si="11"/>
        <v>0</v>
      </c>
    </row>
    <row r="52" spans="1:19" x14ac:dyDescent="0.25">
      <c r="A52" s="216">
        <v>43884</v>
      </c>
      <c r="B52" s="203">
        <v>15</v>
      </c>
      <c r="C52" s="204">
        <f t="shared" si="8"/>
        <v>1.6666666666666666E-2</v>
      </c>
      <c r="D52" s="13">
        <v>360.74</v>
      </c>
      <c r="E52" s="205">
        <f t="shared" si="1"/>
        <v>16215.414836641277</v>
      </c>
      <c r="F52" s="206"/>
      <c r="G52" s="207">
        <f t="shared" si="2"/>
        <v>16215.414836641277</v>
      </c>
      <c r="H52" s="208">
        <f t="shared" si="3"/>
        <v>5849548.7481699744</v>
      </c>
      <c r="I52" s="209"/>
      <c r="J52" s="209">
        <f t="shared" si="4"/>
        <v>0</v>
      </c>
      <c r="K52" s="209">
        <f t="shared" si="5"/>
        <v>0</v>
      </c>
      <c r="L52" s="210">
        <f t="shared" si="6"/>
        <v>5849548.7481699744</v>
      </c>
      <c r="M52" s="146">
        <f t="shared" si="12"/>
        <v>97292489.019847661</v>
      </c>
      <c r="N52" s="146">
        <f t="shared" si="7"/>
        <v>35097292489.019844</v>
      </c>
      <c r="O52" s="146">
        <f t="shared" si="9"/>
        <v>0</v>
      </c>
      <c r="P52" s="146">
        <v>166666.66666666666</v>
      </c>
      <c r="Q52" s="146">
        <f t="shared" si="10"/>
        <v>5682882.0815033074</v>
      </c>
      <c r="R52" s="146">
        <f>VLOOKUP(A52,'IDI 18MARZO'!B:D,3,0)</f>
        <v>360.74</v>
      </c>
      <c r="S52" s="146">
        <f t="shared" si="11"/>
        <v>0</v>
      </c>
    </row>
    <row r="53" spans="1:19" x14ac:dyDescent="0.25">
      <c r="A53" s="216">
        <v>43885</v>
      </c>
      <c r="B53" s="203">
        <v>10</v>
      </c>
      <c r="C53" s="204">
        <f t="shared" si="8"/>
        <v>1.6666666666666666E-2</v>
      </c>
      <c r="D53" s="13">
        <v>360.74</v>
      </c>
      <c r="E53" s="205">
        <f t="shared" si="1"/>
        <v>16215.414836641277</v>
      </c>
      <c r="F53" s="206"/>
      <c r="G53" s="207">
        <f t="shared" si="2"/>
        <v>16215.414836641277</v>
      </c>
      <c r="H53" s="208">
        <f t="shared" si="3"/>
        <v>5849548.7481699744</v>
      </c>
      <c r="I53" s="209"/>
      <c r="J53" s="209">
        <f t="shared" si="4"/>
        <v>0</v>
      </c>
      <c r="K53" s="209">
        <f t="shared" si="5"/>
        <v>0</v>
      </c>
      <c r="L53" s="210">
        <f t="shared" si="6"/>
        <v>5849548.7481699744</v>
      </c>
      <c r="M53" s="146">
        <f t="shared" si="12"/>
        <v>97292489.019847661</v>
      </c>
      <c r="N53" s="146">
        <f t="shared" si="7"/>
        <v>35097292489.019844</v>
      </c>
      <c r="O53" s="146">
        <f t="shared" si="9"/>
        <v>0</v>
      </c>
      <c r="P53" s="146">
        <v>166666.66666666666</v>
      </c>
      <c r="Q53" s="146">
        <f t="shared" si="10"/>
        <v>5682882.0815033074</v>
      </c>
      <c r="R53" s="146">
        <f>VLOOKUP(A53,'IDI 18MARZO'!B:D,3,0)</f>
        <v>360.74</v>
      </c>
      <c r="S53" s="146">
        <f t="shared" si="11"/>
        <v>0</v>
      </c>
    </row>
    <row r="54" spans="1:19" x14ac:dyDescent="0.25">
      <c r="A54" s="216">
        <v>43886</v>
      </c>
      <c r="B54" s="203">
        <v>10</v>
      </c>
      <c r="C54" s="204">
        <f t="shared" si="8"/>
        <v>1.6666666666666666E-2</v>
      </c>
      <c r="D54" s="13">
        <v>360.74</v>
      </c>
      <c r="E54" s="205">
        <f t="shared" si="1"/>
        <v>16215.414836641277</v>
      </c>
      <c r="F54" s="206"/>
      <c r="G54" s="207">
        <f t="shared" si="2"/>
        <v>16215.414836641277</v>
      </c>
      <c r="H54" s="208">
        <f t="shared" si="3"/>
        <v>5849548.7481699744</v>
      </c>
      <c r="I54" s="209"/>
      <c r="J54" s="209">
        <f t="shared" si="4"/>
        <v>0</v>
      </c>
      <c r="K54" s="209">
        <f t="shared" si="5"/>
        <v>0</v>
      </c>
      <c r="L54" s="210">
        <f t="shared" si="6"/>
        <v>5849548.7481699744</v>
      </c>
      <c r="M54" s="146">
        <f t="shared" si="12"/>
        <v>97292489.019847661</v>
      </c>
      <c r="N54" s="146">
        <f t="shared" si="7"/>
        <v>35097292489.019844</v>
      </c>
      <c r="O54" s="146">
        <f t="shared" si="9"/>
        <v>0</v>
      </c>
      <c r="P54" s="146">
        <v>166666.66666666666</v>
      </c>
      <c r="Q54" s="146">
        <f t="shared" si="10"/>
        <v>5682882.0815033074</v>
      </c>
      <c r="R54" s="146">
        <f>VLOOKUP(A54,'IDI 18MARZO'!B:D,3,0)</f>
        <v>360.74</v>
      </c>
      <c r="S54" s="146">
        <f t="shared" si="11"/>
        <v>0</v>
      </c>
    </row>
    <row r="55" spans="1:19" x14ac:dyDescent="0.25">
      <c r="A55" s="216">
        <v>43887</v>
      </c>
      <c r="B55" s="203">
        <v>10</v>
      </c>
      <c r="C55" s="204">
        <f t="shared" si="8"/>
        <v>1.6666666666666666E-2</v>
      </c>
      <c r="D55" s="13">
        <v>358.61</v>
      </c>
      <c r="E55" s="205">
        <f t="shared" si="1"/>
        <v>16215.414836641277</v>
      </c>
      <c r="F55" s="206"/>
      <c r="G55" s="207">
        <f t="shared" si="2"/>
        <v>16215.414836641277</v>
      </c>
      <c r="H55" s="208">
        <f t="shared" si="3"/>
        <v>5815009.9145679288</v>
      </c>
      <c r="I55" s="209"/>
      <c r="J55" s="209">
        <f t="shared" si="4"/>
        <v>0</v>
      </c>
      <c r="K55" s="209">
        <f t="shared" si="5"/>
        <v>0</v>
      </c>
      <c r="L55" s="210">
        <f t="shared" si="6"/>
        <v>5815009.9145679288</v>
      </c>
      <c r="M55" s="146">
        <f t="shared" si="12"/>
        <v>97292489.019847661</v>
      </c>
      <c r="N55" s="146">
        <f t="shared" si="7"/>
        <v>34890059487.40757</v>
      </c>
      <c r="O55" s="146">
        <f t="shared" si="9"/>
        <v>-207233001.61227417</v>
      </c>
      <c r="P55" s="146">
        <v>166666.66666666666</v>
      </c>
      <c r="Q55" s="146">
        <f t="shared" si="10"/>
        <v>5648343.2479012618</v>
      </c>
      <c r="R55" s="146">
        <f>VLOOKUP(A55,'IDI 18MARZO'!B:D,3,0)</f>
        <v>358.61</v>
      </c>
      <c r="S55" s="146">
        <f t="shared" si="11"/>
        <v>-2.1299999999999955</v>
      </c>
    </row>
    <row r="56" spans="1:19" x14ac:dyDescent="0.25">
      <c r="A56" s="216">
        <v>43888</v>
      </c>
      <c r="B56" s="203">
        <v>10</v>
      </c>
      <c r="C56" s="204">
        <f t="shared" si="8"/>
        <v>1.6666666666666666E-2</v>
      </c>
      <c r="D56" s="13">
        <v>359.84</v>
      </c>
      <c r="E56" s="205">
        <f t="shared" si="1"/>
        <v>16215.414836641277</v>
      </c>
      <c r="F56" s="206"/>
      <c r="G56" s="207">
        <f t="shared" si="2"/>
        <v>16215.414836641277</v>
      </c>
      <c r="H56" s="208">
        <f t="shared" si="3"/>
        <v>5834954.874816997</v>
      </c>
      <c r="I56" s="209"/>
      <c r="J56" s="209">
        <f t="shared" si="4"/>
        <v>0</v>
      </c>
      <c r="K56" s="209">
        <f t="shared" si="5"/>
        <v>0</v>
      </c>
      <c r="L56" s="210">
        <f t="shared" si="6"/>
        <v>5834954.874816997</v>
      </c>
      <c r="M56" s="146">
        <f t="shared" si="12"/>
        <v>97292489.019847661</v>
      </c>
      <c r="N56" s="146">
        <f t="shared" si="7"/>
        <v>35009729248.901978</v>
      </c>
      <c r="O56" s="146">
        <f t="shared" si="9"/>
        <v>119669761.49440765</v>
      </c>
      <c r="P56" s="146">
        <v>166666.66666666666</v>
      </c>
      <c r="Q56" s="146">
        <f t="shared" si="10"/>
        <v>5668288.20815033</v>
      </c>
      <c r="R56" s="146">
        <f>VLOOKUP(A56,'IDI 18MARZO'!B:D,3,0)</f>
        <v>359.84</v>
      </c>
      <c r="S56" s="146">
        <f t="shared" si="11"/>
        <v>1.2299999999999613</v>
      </c>
    </row>
    <row r="57" spans="1:19" x14ac:dyDescent="0.25">
      <c r="A57" s="216">
        <v>43889</v>
      </c>
      <c r="B57" s="203">
        <v>10</v>
      </c>
      <c r="C57" s="204">
        <f t="shared" si="8"/>
        <v>1.6666666666666666E-2</v>
      </c>
      <c r="D57" s="13">
        <v>360.08</v>
      </c>
      <c r="E57" s="205">
        <f t="shared" si="1"/>
        <v>16215.414836641277</v>
      </c>
      <c r="F57" s="206"/>
      <c r="G57" s="207">
        <f t="shared" si="2"/>
        <v>16215.414836641277</v>
      </c>
      <c r="H57" s="208">
        <f t="shared" si="3"/>
        <v>5838846.574377791</v>
      </c>
      <c r="I57" s="209"/>
      <c r="J57" s="209">
        <f t="shared" si="4"/>
        <v>0</v>
      </c>
      <c r="K57" s="209">
        <f t="shared" si="5"/>
        <v>0</v>
      </c>
      <c r="L57" s="210">
        <f t="shared" si="6"/>
        <v>5838846.574377791</v>
      </c>
      <c r="M57" s="146">
        <f t="shared" si="12"/>
        <v>97292489.019847661</v>
      </c>
      <c r="N57" s="146">
        <f t="shared" si="7"/>
        <v>35033079446.266747</v>
      </c>
      <c r="O57" s="146">
        <f t="shared" si="9"/>
        <v>23350197.364768982</v>
      </c>
      <c r="P57" s="146">
        <v>166666.66666666666</v>
      </c>
      <c r="Q57" s="146">
        <f t="shared" si="10"/>
        <v>5672179.907711124</v>
      </c>
      <c r="R57" s="146">
        <f>VLOOKUP(A57,'IDI 18MARZO'!B:D,3,0)</f>
        <v>360.08</v>
      </c>
      <c r="S57" s="146">
        <f t="shared" si="11"/>
        <v>0.24000000000000909</v>
      </c>
    </row>
    <row r="58" spans="1:19" x14ac:dyDescent="0.25">
      <c r="A58" s="216">
        <v>43890</v>
      </c>
      <c r="B58" s="203">
        <v>10</v>
      </c>
      <c r="C58" s="204">
        <f t="shared" si="8"/>
        <v>1.6666666666666666E-2</v>
      </c>
      <c r="D58" s="13">
        <v>360.08</v>
      </c>
      <c r="E58" s="205">
        <f t="shared" si="1"/>
        <v>16215.414836641277</v>
      </c>
      <c r="F58" s="206"/>
      <c r="G58" s="207">
        <f t="shared" si="2"/>
        <v>16215.414836641277</v>
      </c>
      <c r="H58" s="208">
        <f t="shared" si="3"/>
        <v>5838846.574377791</v>
      </c>
      <c r="I58" s="209"/>
      <c r="J58" s="209">
        <f t="shared" si="4"/>
        <v>0</v>
      </c>
      <c r="K58" s="209">
        <f t="shared" si="5"/>
        <v>0</v>
      </c>
      <c r="L58" s="210">
        <f t="shared" si="6"/>
        <v>5838846.574377791</v>
      </c>
      <c r="M58" s="146">
        <f t="shared" si="12"/>
        <v>97292489.019847661</v>
      </c>
      <c r="N58" s="146">
        <f t="shared" si="7"/>
        <v>35033079446.266747</v>
      </c>
      <c r="O58" s="146">
        <f t="shared" si="9"/>
        <v>0</v>
      </c>
      <c r="P58" s="146">
        <v>166666.66666666666</v>
      </c>
      <c r="Q58" s="146">
        <f t="shared" si="10"/>
        <v>5672179.907711124</v>
      </c>
      <c r="R58" s="146">
        <f>VLOOKUP(A58,'IDI 18MARZO'!B:D,3,0)</f>
        <v>360.08</v>
      </c>
      <c r="S58" s="146">
        <f t="shared" si="11"/>
        <v>0</v>
      </c>
    </row>
    <row r="59" spans="1:19" x14ac:dyDescent="0.25">
      <c r="A59" s="216">
        <v>43891</v>
      </c>
      <c r="B59" s="203">
        <v>10</v>
      </c>
      <c r="C59" s="204">
        <f t="shared" si="8"/>
        <v>1.6666666666666666E-2</v>
      </c>
      <c r="D59" s="13">
        <v>360.08</v>
      </c>
      <c r="E59" s="205">
        <f t="shared" si="1"/>
        <v>16215.414836641277</v>
      </c>
      <c r="F59" s="206"/>
      <c r="G59" s="207">
        <f t="shared" si="2"/>
        <v>16215.414836641277</v>
      </c>
      <c r="H59" s="208">
        <f t="shared" si="3"/>
        <v>5838846.574377791</v>
      </c>
      <c r="I59" s="209"/>
      <c r="J59" s="209">
        <f t="shared" si="4"/>
        <v>0</v>
      </c>
      <c r="K59" s="209">
        <f t="shared" si="5"/>
        <v>0</v>
      </c>
      <c r="L59" s="210">
        <f t="shared" si="6"/>
        <v>5838846.574377791</v>
      </c>
      <c r="M59" s="146">
        <f t="shared" si="12"/>
        <v>97292489.019847661</v>
      </c>
      <c r="N59" s="146">
        <f t="shared" si="7"/>
        <v>35033079446.266747</v>
      </c>
      <c r="O59" s="146">
        <f t="shared" si="9"/>
        <v>0</v>
      </c>
      <c r="P59" s="146">
        <v>166666.66666666666</v>
      </c>
      <c r="Q59" s="146">
        <f t="shared" si="10"/>
        <v>5672179.907711124</v>
      </c>
      <c r="R59" s="146">
        <f>VLOOKUP(A59,'IDI 18MARZO'!B:D,3,0)</f>
        <v>360.08</v>
      </c>
      <c r="S59" s="146">
        <f t="shared" si="11"/>
        <v>0</v>
      </c>
    </row>
    <row r="60" spans="1:19" x14ac:dyDescent="0.25">
      <c r="A60" s="216">
        <v>43892</v>
      </c>
      <c r="B60" s="203">
        <v>10</v>
      </c>
      <c r="C60" s="204">
        <f t="shared" si="8"/>
        <v>1.6666666666666666E-2</v>
      </c>
      <c r="D60" s="13">
        <v>362.23</v>
      </c>
      <c r="E60" s="205">
        <f t="shared" si="1"/>
        <v>16215.414836641277</v>
      </c>
      <c r="F60" s="206"/>
      <c r="G60" s="207">
        <f t="shared" si="2"/>
        <v>16215.414836641277</v>
      </c>
      <c r="H60" s="208">
        <f t="shared" si="3"/>
        <v>5873709.7162765702</v>
      </c>
      <c r="I60" s="209"/>
      <c r="J60" s="209">
        <f t="shared" si="4"/>
        <v>0</v>
      </c>
      <c r="K60" s="209">
        <f t="shared" si="5"/>
        <v>0</v>
      </c>
      <c r="L60" s="210">
        <f t="shared" si="6"/>
        <v>5873709.7162765702</v>
      </c>
      <c r="M60" s="146">
        <f t="shared" si="12"/>
        <v>97292489.019847661</v>
      </c>
      <c r="N60" s="146">
        <f t="shared" si="7"/>
        <v>35242258297.659424</v>
      </c>
      <c r="O60" s="146">
        <f t="shared" si="9"/>
        <v>209178851.39267731</v>
      </c>
      <c r="P60" s="146">
        <v>166666.66666666666</v>
      </c>
      <c r="Q60" s="146">
        <f t="shared" si="10"/>
        <v>5707043.0496099032</v>
      </c>
      <c r="R60" s="146">
        <f>VLOOKUP(A60,'IDI 18MARZO'!B:D,3,0)</f>
        <v>362.23</v>
      </c>
      <c r="S60" s="146">
        <f t="shared" si="11"/>
        <v>2.1500000000000341</v>
      </c>
    </row>
    <row r="61" spans="1:19" x14ac:dyDescent="0.25">
      <c r="A61" s="216">
        <v>43893</v>
      </c>
      <c r="B61" s="203">
        <v>10</v>
      </c>
      <c r="C61" s="204">
        <f t="shared" si="8"/>
        <v>1.6666666666666666E-2</v>
      </c>
      <c r="D61" s="13">
        <v>361.72</v>
      </c>
      <c r="E61" s="205">
        <f t="shared" si="1"/>
        <v>16215.414836641277</v>
      </c>
      <c r="F61" s="206"/>
      <c r="G61" s="207">
        <f t="shared" si="2"/>
        <v>16215.414836641277</v>
      </c>
      <c r="H61" s="208">
        <f t="shared" si="3"/>
        <v>5865439.8547098832</v>
      </c>
      <c r="I61" s="209"/>
      <c r="J61" s="209">
        <f t="shared" si="4"/>
        <v>0</v>
      </c>
      <c r="K61" s="209">
        <f t="shared" si="5"/>
        <v>0</v>
      </c>
      <c r="L61" s="210">
        <f t="shared" si="6"/>
        <v>5865439.8547098832</v>
      </c>
      <c r="M61" s="146">
        <f t="shared" si="12"/>
        <v>97292489.019847661</v>
      </c>
      <c r="N61" s="146">
        <f t="shared" si="7"/>
        <v>35192639128.2593</v>
      </c>
      <c r="O61" s="146">
        <f t="shared" si="9"/>
        <v>-49619169.400123596</v>
      </c>
      <c r="P61" s="146">
        <v>166666.66666666666</v>
      </c>
      <c r="Q61" s="146">
        <f t="shared" si="10"/>
        <v>5698773.1880432162</v>
      </c>
      <c r="R61" s="146">
        <f>VLOOKUP(A61,'IDI 18MARZO'!B:D,3,0)</f>
        <v>361.72</v>
      </c>
      <c r="S61" s="146">
        <f t="shared" si="11"/>
        <v>-0.50999999999999091</v>
      </c>
    </row>
    <row r="62" spans="1:19" x14ac:dyDescent="0.25">
      <c r="A62" s="216">
        <v>43894</v>
      </c>
      <c r="B62" s="203">
        <v>10</v>
      </c>
      <c r="C62" s="204">
        <f t="shared" si="8"/>
        <v>1.6666666666666666E-2</v>
      </c>
      <c r="D62" s="13">
        <v>360.95</v>
      </c>
      <c r="E62" s="205">
        <f t="shared" si="1"/>
        <v>16215.414836641277</v>
      </c>
      <c r="F62" s="206"/>
      <c r="G62" s="207">
        <f t="shared" si="2"/>
        <v>16215.414836641277</v>
      </c>
      <c r="H62" s="208">
        <f t="shared" si="3"/>
        <v>5852953.9852856686</v>
      </c>
      <c r="I62" s="209"/>
      <c r="J62" s="209">
        <f t="shared" si="4"/>
        <v>0</v>
      </c>
      <c r="K62" s="209">
        <f t="shared" si="5"/>
        <v>0</v>
      </c>
      <c r="L62" s="210">
        <f t="shared" si="6"/>
        <v>5852953.9852856686</v>
      </c>
      <c r="M62" s="146">
        <f t="shared" si="12"/>
        <v>97292489.019847661</v>
      </c>
      <c r="N62" s="146">
        <f t="shared" si="7"/>
        <v>35117723911.714012</v>
      </c>
      <c r="O62" s="146">
        <f t="shared" si="9"/>
        <v>-74915216.545288086</v>
      </c>
      <c r="P62" s="146">
        <v>166666.66666666666</v>
      </c>
      <c r="Q62" s="146">
        <f t="shared" si="10"/>
        <v>5686287.3186190017</v>
      </c>
      <c r="R62" s="146">
        <f>VLOOKUP(A62,'IDI 18MARZO'!B:D,3,0)</f>
        <v>360.95</v>
      </c>
      <c r="S62" s="146">
        <f t="shared" si="11"/>
        <v>-0.77000000000003865</v>
      </c>
    </row>
    <row r="63" spans="1:19" x14ac:dyDescent="0.25">
      <c r="A63" s="216">
        <v>43895</v>
      </c>
      <c r="B63" s="203">
        <v>10</v>
      </c>
      <c r="C63" s="204">
        <f t="shared" si="8"/>
        <v>1.6666666666666666E-2</v>
      </c>
      <c r="D63" s="13">
        <v>360.09</v>
      </c>
      <c r="E63" s="205">
        <f t="shared" si="1"/>
        <v>16215.414836641277</v>
      </c>
      <c r="F63" s="206"/>
      <c r="G63" s="207">
        <f t="shared" si="2"/>
        <v>16215.414836641277</v>
      </c>
      <c r="H63" s="208">
        <f t="shared" si="3"/>
        <v>5839008.7285261573</v>
      </c>
      <c r="I63" s="209"/>
      <c r="J63" s="209">
        <f t="shared" si="4"/>
        <v>0</v>
      </c>
      <c r="K63" s="209">
        <f t="shared" si="5"/>
        <v>0</v>
      </c>
      <c r="L63" s="210">
        <f t="shared" si="6"/>
        <v>5839008.7285261573</v>
      </c>
      <c r="M63" s="146">
        <f t="shared" si="12"/>
        <v>97292489.019847661</v>
      </c>
      <c r="N63" s="146">
        <f t="shared" si="7"/>
        <v>35034052371.156944</v>
      </c>
      <c r="O63" s="146">
        <f t="shared" si="9"/>
        <v>-83671540.557067871</v>
      </c>
      <c r="P63" s="146">
        <v>166666.66666666666</v>
      </c>
      <c r="Q63" s="146">
        <f t="shared" si="10"/>
        <v>5672342.0618594903</v>
      </c>
      <c r="R63" s="146">
        <f>VLOOKUP(A63,'IDI 18MARZO'!B:D,3,0)</f>
        <v>360.09</v>
      </c>
      <c r="S63" s="146">
        <f t="shared" si="11"/>
        <v>-0.86000000000001364</v>
      </c>
    </row>
    <row r="64" spans="1:19" x14ac:dyDescent="0.25">
      <c r="A64" s="216">
        <v>43896</v>
      </c>
      <c r="B64" s="203">
        <v>10</v>
      </c>
      <c r="C64" s="204">
        <f t="shared" si="8"/>
        <v>1.6666666666666666E-2</v>
      </c>
      <c r="D64" s="13">
        <v>357.84</v>
      </c>
      <c r="E64" s="205">
        <f t="shared" si="1"/>
        <v>16215.414836641277</v>
      </c>
      <c r="F64" s="206"/>
      <c r="G64" s="207">
        <f t="shared" si="2"/>
        <v>16215.414836641277</v>
      </c>
      <c r="H64" s="208">
        <f t="shared" si="3"/>
        <v>5802524.0451437142</v>
      </c>
      <c r="I64" s="209"/>
      <c r="J64" s="209">
        <f t="shared" si="4"/>
        <v>0</v>
      </c>
      <c r="K64" s="209">
        <f t="shared" si="5"/>
        <v>0</v>
      </c>
      <c r="L64" s="210">
        <f t="shared" si="6"/>
        <v>5802524.0451437142</v>
      </c>
      <c r="M64" s="146">
        <f t="shared" si="12"/>
        <v>97292489.019847661</v>
      </c>
      <c r="N64" s="146">
        <f t="shared" si="7"/>
        <v>34815144270.862282</v>
      </c>
      <c r="O64" s="146">
        <f t="shared" si="9"/>
        <v>-218908100.29466248</v>
      </c>
      <c r="P64" s="146">
        <v>166666.66666666666</v>
      </c>
      <c r="Q64" s="146">
        <f t="shared" si="10"/>
        <v>5635857.3784770472</v>
      </c>
      <c r="R64" s="146">
        <f>VLOOKUP(A64,'IDI 18MARZO'!B:D,3,0)</f>
        <v>357.84</v>
      </c>
      <c r="S64" s="146">
        <f t="shared" si="11"/>
        <v>-2.25</v>
      </c>
    </row>
    <row r="65" spans="1:19" x14ac:dyDescent="0.25">
      <c r="A65" s="216">
        <v>43897</v>
      </c>
      <c r="B65" s="203">
        <v>10</v>
      </c>
      <c r="C65" s="204">
        <f t="shared" si="8"/>
        <v>1.6666666666666666E-2</v>
      </c>
      <c r="D65" s="13">
        <v>357.84</v>
      </c>
      <c r="E65" s="205">
        <f t="shared" si="1"/>
        <v>16215.414836641277</v>
      </c>
      <c r="F65" s="206"/>
      <c r="G65" s="207">
        <f t="shared" si="2"/>
        <v>16215.414836641277</v>
      </c>
      <c r="H65" s="208">
        <f t="shared" si="3"/>
        <v>5802524.0451437142</v>
      </c>
      <c r="I65" s="209"/>
      <c r="J65" s="209">
        <f t="shared" si="4"/>
        <v>0</v>
      </c>
      <c r="K65" s="209">
        <f t="shared" si="5"/>
        <v>0</v>
      </c>
      <c r="L65" s="210">
        <f t="shared" si="6"/>
        <v>5802524.0451437142</v>
      </c>
      <c r="M65" s="146">
        <f t="shared" si="12"/>
        <v>97292489.019847661</v>
      </c>
      <c r="N65" s="146">
        <f t="shared" si="7"/>
        <v>34815144270.862282</v>
      </c>
      <c r="O65" s="146">
        <f t="shared" si="9"/>
        <v>0</v>
      </c>
      <c r="P65" s="146">
        <v>166666.66666666666</v>
      </c>
      <c r="Q65" s="146">
        <f t="shared" si="10"/>
        <v>5635857.3784770472</v>
      </c>
      <c r="R65" s="146">
        <f>VLOOKUP(A65,'IDI 18MARZO'!B:D,3,0)</f>
        <v>357.84</v>
      </c>
      <c r="S65" s="146">
        <f t="shared" si="11"/>
        <v>0</v>
      </c>
    </row>
    <row r="66" spans="1:19" x14ac:dyDescent="0.25">
      <c r="A66" s="216">
        <v>43898</v>
      </c>
      <c r="B66" s="203">
        <v>10</v>
      </c>
      <c r="C66" s="204">
        <f t="shared" si="8"/>
        <v>1.6666666666666666E-2</v>
      </c>
      <c r="D66" s="13">
        <v>357.84</v>
      </c>
      <c r="E66" s="205">
        <f t="shared" si="1"/>
        <v>16215.414836641277</v>
      </c>
      <c r="F66" s="206"/>
      <c r="G66" s="207">
        <f t="shared" si="2"/>
        <v>16215.414836641277</v>
      </c>
      <c r="H66" s="208">
        <f t="shared" si="3"/>
        <v>5802524.0451437142</v>
      </c>
      <c r="I66" s="209"/>
      <c r="J66" s="209">
        <f t="shared" si="4"/>
        <v>0</v>
      </c>
      <c r="K66" s="209">
        <f t="shared" si="5"/>
        <v>0</v>
      </c>
      <c r="L66" s="210">
        <f t="shared" si="6"/>
        <v>5802524.0451437142</v>
      </c>
      <c r="M66" s="146">
        <f t="shared" si="12"/>
        <v>97292489.019847661</v>
      </c>
      <c r="N66" s="146">
        <f t="shared" si="7"/>
        <v>34815144270.862282</v>
      </c>
      <c r="O66" s="146">
        <f t="shared" si="9"/>
        <v>0</v>
      </c>
      <c r="P66" s="146">
        <v>166666.66666666666</v>
      </c>
      <c r="Q66" s="146">
        <f t="shared" si="10"/>
        <v>5635857.3784770472</v>
      </c>
      <c r="R66" s="146">
        <f>VLOOKUP(A66,'IDI 18MARZO'!B:D,3,0)</f>
        <v>357.84</v>
      </c>
      <c r="S66" s="146">
        <f t="shared" si="11"/>
        <v>0</v>
      </c>
    </row>
    <row r="67" spans="1:19" x14ac:dyDescent="0.25">
      <c r="A67" s="216">
        <v>43899</v>
      </c>
      <c r="B67" s="203">
        <v>10</v>
      </c>
      <c r="C67" s="204">
        <f t="shared" si="8"/>
        <v>1.6666666666666666E-2</v>
      </c>
      <c r="D67" s="13">
        <v>357.99</v>
      </c>
      <c r="E67" s="205">
        <f t="shared" si="1"/>
        <v>16215.414836641277</v>
      </c>
      <c r="F67" s="206"/>
      <c r="G67" s="207">
        <f t="shared" si="2"/>
        <v>16215.414836641277</v>
      </c>
      <c r="H67" s="208">
        <f t="shared" si="3"/>
        <v>5804956.3573692106</v>
      </c>
      <c r="I67" s="209"/>
      <c r="J67" s="209">
        <f t="shared" si="4"/>
        <v>0</v>
      </c>
      <c r="K67" s="209">
        <f t="shared" si="5"/>
        <v>0</v>
      </c>
      <c r="L67" s="210">
        <f t="shared" si="6"/>
        <v>5804956.3573692106</v>
      </c>
      <c r="M67" s="146">
        <f t="shared" si="12"/>
        <v>97292489.019847661</v>
      </c>
      <c r="N67" s="146">
        <f t="shared" si="7"/>
        <v>34829738144.215263</v>
      </c>
      <c r="O67" s="146">
        <f t="shared" si="9"/>
        <v>14593873.352981567</v>
      </c>
      <c r="P67" s="146">
        <v>166666.66666666666</v>
      </c>
      <c r="Q67" s="146">
        <f t="shared" si="10"/>
        <v>5638289.6907025436</v>
      </c>
      <c r="R67" s="146">
        <f>VLOOKUP(A67,'IDI 18MARZO'!B:D,3,0)</f>
        <v>357.99</v>
      </c>
      <c r="S67" s="146">
        <f t="shared" si="11"/>
        <v>0.15000000000003411</v>
      </c>
    </row>
    <row r="68" spans="1:19" x14ac:dyDescent="0.25">
      <c r="A68" s="216">
        <v>43900</v>
      </c>
      <c r="B68" s="203">
        <v>10</v>
      </c>
      <c r="C68" s="204">
        <f t="shared" si="8"/>
        <v>1.6666666666666666E-2</v>
      </c>
      <c r="D68" s="13">
        <v>358.14</v>
      </c>
      <c r="E68" s="205">
        <f t="shared" si="1"/>
        <v>16215.414836641277</v>
      </c>
      <c r="F68" s="206"/>
      <c r="G68" s="207">
        <f t="shared" si="2"/>
        <v>16215.414836641277</v>
      </c>
      <c r="H68" s="208">
        <f t="shared" si="3"/>
        <v>5807388.669594707</v>
      </c>
      <c r="I68" s="209"/>
      <c r="J68" s="209">
        <f t="shared" si="4"/>
        <v>0</v>
      </c>
      <c r="K68" s="209">
        <f t="shared" si="5"/>
        <v>0</v>
      </c>
      <c r="L68" s="210">
        <f t="shared" si="6"/>
        <v>5807388.669594707</v>
      </c>
      <c r="M68" s="146">
        <f t="shared" si="12"/>
        <v>97292489.019847661</v>
      </c>
      <c r="N68" s="146">
        <f t="shared" si="7"/>
        <v>34844332017.568237</v>
      </c>
      <c r="O68" s="146">
        <f t="shared" si="9"/>
        <v>14593873.352973938</v>
      </c>
      <c r="P68" s="146">
        <v>166666.66666666666</v>
      </c>
      <c r="Q68" s="146">
        <f t="shared" si="10"/>
        <v>5640722.00292804</v>
      </c>
      <c r="R68" s="146">
        <f>VLOOKUP(A68,'IDI 18MARZO'!B:D,3,0)</f>
        <v>358.14</v>
      </c>
      <c r="S68" s="146">
        <f t="shared" si="11"/>
        <v>0.14999999999997726</v>
      </c>
    </row>
    <row r="69" spans="1:19" x14ac:dyDescent="0.25">
      <c r="A69" s="216">
        <v>43901</v>
      </c>
      <c r="B69" s="203">
        <v>10</v>
      </c>
      <c r="C69" s="204">
        <f t="shared" si="8"/>
        <v>1.6666666666666666E-2</v>
      </c>
      <c r="D69" s="13">
        <v>358.53</v>
      </c>
      <c r="E69" s="205">
        <f t="shared" si="1"/>
        <v>16215.414836641277</v>
      </c>
      <c r="F69" s="206"/>
      <c r="G69" s="207">
        <f t="shared" si="2"/>
        <v>16215.414836641277</v>
      </c>
      <c r="H69" s="208">
        <f t="shared" si="3"/>
        <v>5813712.6813809965</v>
      </c>
      <c r="I69" s="209"/>
      <c r="J69" s="209">
        <f t="shared" si="4"/>
        <v>0</v>
      </c>
      <c r="K69" s="209">
        <f t="shared" si="5"/>
        <v>0</v>
      </c>
      <c r="L69" s="210">
        <f t="shared" si="6"/>
        <v>5813712.6813809965</v>
      </c>
      <c r="M69" s="146">
        <f t="shared" si="12"/>
        <v>97292489.019847661</v>
      </c>
      <c r="N69" s="146">
        <f t="shared" si="7"/>
        <v>34882276088.28598</v>
      </c>
      <c r="O69" s="146">
        <f t="shared" si="9"/>
        <v>37944070.71774292</v>
      </c>
      <c r="P69" s="146">
        <v>166666.66666666666</v>
      </c>
      <c r="Q69" s="146">
        <f t="shared" si="10"/>
        <v>5647046.0147143295</v>
      </c>
      <c r="R69" s="146">
        <f>VLOOKUP(A69,'IDI 18MARZO'!B:D,3,0)</f>
        <v>358.53</v>
      </c>
      <c r="S69" s="146">
        <f t="shared" si="11"/>
        <v>0.38999999999998636</v>
      </c>
    </row>
    <row r="70" spans="1:19" x14ac:dyDescent="0.25">
      <c r="A70" s="216">
        <v>43902</v>
      </c>
      <c r="B70" s="203">
        <v>10</v>
      </c>
      <c r="C70" s="204">
        <f t="shared" si="8"/>
        <v>1.6666666666666666E-2</v>
      </c>
      <c r="D70" s="13">
        <v>360.07</v>
      </c>
      <c r="E70" s="205">
        <f t="shared" si="1"/>
        <v>16215.414836641277</v>
      </c>
      <c r="F70" s="206"/>
      <c r="G70" s="207">
        <f t="shared" si="2"/>
        <v>16215.414836641277</v>
      </c>
      <c r="H70" s="208">
        <f t="shared" si="3"/>
        <v>5838684.4202294247</v>
      </c>
      <c r="I70" s="209"/>
      <c r="J70" s="209">
        <f t="shared" si="4"/>
        <v>0</v>
      </c>
      <c r="K70" s="209">
        <f t="shared" si="5"/>
        <v>0</v>
      </c>
      <c r="L70" s="210">
        <f t="shared" si="6"/>
        <v>5838684.4202294247</v>
      </c>
      <c r="M70" s="146">
        <f t="shared" si="12"/>
        <v>97292489.019847661</v>
      </c>
      <c r="N70" s="146">
        <f t="shared" si="7"/>
        <v>35032106521.376549</v>
      </c>
      <c r="O70" s="146">
        <f t="shared" si="9"/>
        <v>149830433.09056854</v>
      </c>
      <c r="P70" s="146">
        <v>166666.66666666666</v>
      </c>
      <c r="Q70" s="146">
        <f t="shared" si="10"/>
        <v>5672017.7535627577</v>
      </c>
      <c r="R70" s="146">
        <f>VLOOKUP(A70,'IDI 18MARZO'!B:D,3,0)</f>
        <v>360.07</v>
      </c>
      <c r="S70" s="146">
        <f t="shared" si="11"/>
        <v>1.5400000000000205</v>
      </c>
    </row>
    <row r="71" spans="1:19" x14ac:dyDescent="0.25">
      <c r="A71" s="216">
        <v>43903</v>
      </c>
      <c r="B71" s="203">
        <v>10</v>
      </c>
      <c r="C71" s="204">
        <f t="shared" si="8"/>
        <v>1.6666666666666666E-2</v>
      </c>
      <c r="D71" s="13">
        <v>360.26</v>
      </c>
      <c r="E71" s="205">
        <f t="shared" si="1"/>
        <v>16215.414836641277</v>
      </c>
      <c r="F71" s="206"/>
      <c r="G71" s="207">
        <f t="shared" si="2"/>
        <v>16215.414836641277</v>
      </c>
      <c r="H71" s="208">
        <f t="shared" si="3"/>
        <v>5841765.3490483863</v>
      </c>
      <c r="I71" s="209"/>
      <c r="J71" s="209">
        <f t="shared" si="4"/>
        <v>0</v>
      </c>
      <c r="K71" s="209">
        <f t="shared" si="5"/>
        <v>0</v>
      </c>
      <c r="L71" s="210">
        <f t="shared" si="6"/>
        <v>5841765.3490483863</v>
      </c>
      <c r="M71" s="146">
        <f t="shared" si="12"/>
        <v>97292489.019847661</v>
      </c>
      <c r="N71" s="146">
        <f t="shared" si="7"/>
        <v>35050592094.290321</v>
      </c>
      <c r="O71" s="146">
        <f t="shared" si="9"/>
        <v>18485572.913772583</v>
      </c>
      <c r="P71" s="146">
        <v>166666.66666666666</v>
      </c>
      <c r="Q71" s="146">
        <f t="shared" si="10"/>
        <v>5675098.6823817194</v>
      </c>
      <c r="R71" s="146">
        <f>VLOOKUP(A71,'IDI 18MARZO'!B:D,3,0)</f>
        <v>360.26</v>
      </c>
      <c r="S71" s="146">
        <f t="shared" si="11"/>
        <v>0.18999999999999773</v>
      </c>
    </row>
    <row r="72" spans="1:19" x14ac:dyDescent="0.25">
      <c r="A72" s="216">
        <v>43904</v>
      </c>
      <c r="B72" s="203">
        <v>10</v>
      </c>
      <c r="C72" s="204">
        <f t="shared" si="8"/>
        <v>1.6666666666666666E-2</v>
      </c>
      <c r="D72" s="13">
        <v>360.26</v>
      </c>
      <c r="E72" s="205">
        <f t="shared" si="1"/>
        <v>16215.414836641277</v>
      </c>
      <c r="F72" s="206"/>
      <c r="G72" s="207">
        <f t="shared" si="2"/>
        <v>16215.414836641277</v>
      </c>
      <c r="H72" s="208">
        <f t="shared" si="3"/>
        <v>5841765.3490483863</v>
      </c>
      <c r="I72" s="209"/>
      <c r="J72" s="209">
        <f t="shared" si="4"/>
        <v>0</v>
      </c>
      <c r="K72" s="209">
        <f t="shared" si="5"/>
        <v>0</v>
      </c>
      <c r="L72" s="210">
        <f t="shared" si="6"/>
        <v>5841765.3490483863</v>
      </c>
      <c r="M72" s="146">
        <f t="shared" si="12"/>
        <v>97292489.019847661</v>
      </c>
      <c r="N72" s="146">
        <f t="shared" si="7"/>
        <v>35050592094.290321</v>
      </c>
      <c r="O72" s="146">
        <f t="shared" si="9"/>
        <v>0</v>
      </c>
      <c r="P72" s="146">
        <v>166666.66666666666</v>
      </c>
      <c r="Q72" s="146">
        <f t="shared" si="10"/>
        <v>5675098.6823817194</v>
      </c>
      <c r="R72" s="146">
        <f>VLOOKUP(A72,'IDI 18MARZO'!B:D,3,0)</f>
        <v>360.26</v>
      </c>
      <c r="S72" s="146">
        <f t="shared" si="11"/>
        <v>0</v>
      </c>
    </row>
    <row r="73" spans="1:19" x14ac:dyDescent="0.25">
      <c r="A73" s="216">
        <v>43905</v>
      </c>
      <c r="B73" s="203">
        <v>10</v>
      </c>
      <c r="C73" s="204">
        <f t="shared" si="8"/>
        <v>1.6666666666666666E-2</v>
      </c>
      <c r="D73" s="13">
        <v>360.26</v>
      </c>
      <c r="E73" s="205">
        <f t="shared" si="1"/>
        <v>16215.414836641277</v>
      </c>
      <c r="F73" s="206">
        <f>M72</f>
        <v>97292489.019847661</v>
      </c>
      <c r="G73" s="207">
        <f t="shared" si="2"/>
        <v>97308704.434684306</v>
      </c>
      <c r="H73" s="208">
        <f t="shared" si="3"/>
        <v>5841765.3490483863</v>
      </c>
      <c r="I73" s="209"/>
      <c r="J73" s="209">
        <v>0</v>
      </c>
      <c r="K73" s="209">
        <v>0</v>
      </c>
      <c r="L73" s="210">
        <f t="shared" si="6"/>
        <v>5841765.3490483863</v>
      </c>
      <c r="M73" s="146">
        <f>F73</f>
        <v>97292489.019847661</v>
      </c>
      <c r="N73" s="146">
        <f t="shared" si="7"/>
        <v>35050592094.290321</v>
      </c>
      <c r="O73" s="146">
        <f t="shared" si="9"/>
        <v>0</v>
      </c>
      <c r="P73" s="146">
        <v>166666.66666666666</v>
      </c>
      <c r="Q73" s="146">
        <f t="shared" si="10"/>
        <v>5675098.6823817194</v>
      </c>
      <c r="R73" s="146">
        <f>VLOOKUP(A73,'IDI 18MARZO'!B:D,3,0)</f>
        <v>360.26</v>
      </c>
      <c r="S73" s="146">
        <f t="shared" si="11"/>
        <v>0</v>
      </c>
    </row>
    <row r="74" spans="1:19" x14ac:dyDescent="0.25">
      <c r="B74" s="203"/>
      <c r="C74" s="204"/>
      <c r="E74" s="205"/>
      <c r="F74" s="206"/>
      <c r="G74" s="211"/>
      <c r="H74" s="208"/>
      <c r="I74" s="209">
        <f>D11</f>
        <v>35000000000</v>
      </c>
      <c r="J74" s="209">
        <f>+F73*D73-I74</f>
        <v>50592094.29032135</v>
      </c>
      <c r="K74" s="209">
        <f>+F73*D73</f>
        <v>35050592094.290321</v>
      </c>
      <c r="L74" s="210">
        <f>SUM(L45:L73)+K74</f>
        <v>35219807245.047348</v>
      </c>
      <c r="O74" s="212"/>
    </row>
    <row r="75" spans="1:19" ht="15.75" thickBot="1" x14ac:dyDescent="0.3">
      <c r="A75" s="213"/>
      <c r="B75" s="213"/>
      <c r="C75" s="213"/>
      <c r="D75" s="213"/>
      <c r="E75" s="214">
        <f>SUM(E45:E74)</f>
        <v>470247.0302625972</v>
      </c>
      <c r="F75" s="214">
        <f t="shared" ref="F75:G75" si="13">SUM(F45:F74)</f>
        <v>97292489.019847661</v>
      </c>
      <c r="G75" s="214">
        <f t="shared" si="13"/>
        <v>97762736.050110266</v>
      </c>
      <c r="H75" s="214">
        <f>SUM(H45:H74)</f>
        <v>169215150.75702816</v>
      </c>
      <c r="I75" s="214">
        <f>+SUM(I74:I74)</f>
        <v>35000000000</v>
      </c>
      <c r="J75" s="214">
        <f t="shared" ref="J75:K75" si="14">SUM(J45:J74)</f>
        <v>50592094.29032135</v>
      </c>
      <c r="K75" s="214">
        <f t="shared" si="14"/>
        <v>35050592094.290321</v>
      </c>
      <c r="L75" s="214">
        <f>SUM(L45:L74)-H75</f>
        <v>35219807245.047348</v>
      </c>
      <c r="M75" s="214"/>
      <c r="N75" s="214"/>
      <c r="P75" s="215" t="e">
        <f>SUM(#REF!)</f>
        <v>#REF!</v>
      </c>
      <c r="Q75" s="215" t="e">
        <f>H75-P75</f>
        <v>#REF!</v>
      </c>
    </row>
    <row r="77" spans="1:19" x14ac:dyDescent="0.25">
      <c r="K77" s="146">
        <f>K75+H75</f>
        <v>35219807245.047348</v>
      </c>
    </row>
    <row r="78" spans="1:19" x14ac:dyDescent="0.25">
      <c r="K78" s="146">
        <f>D29</f>
        <v>7000000000</v>
      </c>
    </row>
    <row r="79" spans="1:19" x14ac:dyDescent="0.25">
      <c r="K79" s="146">
        <f>K77+K78</f>
        <v>42219807245.047348</v>
      </c>
    </row>
  </sheetData>
  <protectedRanges>
    <protectedRange algorithmName="SHA-512" hashValue="8o3XMw3St9iEfR/G+CKnxdZ1iUg+AjgjJAjpu7Vn/EbX2qvXVlVvGR+19k0VoFk3z02DooRzQnRn9SwW+yzvSQ==" saltValue="sv6sm3OAkmAng0G0YMjKQA==" spinCount="100000" sqref="D11 A28:D40 B20:D27 B11 B6:D9 A1:D5 A6:A27 C10:E10 C12:E19" name="Rango1"/>
  </protectedRanges>
  <mergeCells count="4">
    <mergeCell ref="A24:G24"/>
    <mergeCell ref="E41:G41"/>
    <mergeCell ref="H41:L41"/>
    <mergeCell ref="I42:K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"/>
  <sheetViews>
    <sheetView tabSelected="1" topLeftCell="A24" zoomScale="80" zoomScaleNormal="80" workbookViewId="0">
      <selection activeCell="I25" sqref="I25"/>
    </sheetView>
  </sheetViews>
  <sheetFormatPr baseColWidth="10" defaultRowHeight="15" x14ac:dyDescent="0.25"/>
  <cols>
    <col min="1" max="1" width="25.7109375" customWidth="1"/>
    <col min="2" max="2" width="11.85546875" hidden="1" customWidth="1"/>
    <col min="3" max="3" width="13.85546875" customWidth="1"/>
    <col min="4" max="4" width="23.5703125" customWidth="1"/>
    <col min="5" max="5" width="19.28515625" customWidth="1"/>
    <col min="6" max="7" width="19.5703125" customWidth="1"/>
    <col min="8" max="8" width="17.42578125" bestFit="1" customWidth="1"/>
    <col min="9" max="9" width="18.85546875" customWidth="1"/>
    <col min="10" max="10" width="24.5703125" customWidth="1"/>
    <col min="11" max="11" width="19.140625" customWidth="1"/>
    <col min="12" max="12" width="19.85546875" customWidth="1"/>
    <col min="13" max="13" width="18.42578125" customWidth="1"/>
    <col min="14" max="14" width="27.140625" customWidth="1"/>
    <col min="15" max="15" width="20.140625" hidden="1" customWidth="1"/>
    <col min="16" max="16" width="19.5703125" hidden="1" customWidth="1"/>
    <col min="17" max="17" width="18.28515625" hidden="1" customWidth="1"/>
    <col min="18" max="18" width="14.140625" hidden="1" customWidth="1"/>
    <col min="19" max="19" width="14.42578125" hidden="1" customWidth="1"/>
    <col min="20" max="20" width="14.85546875" hidden="1" customWidth="1"/>
    <col min="21" max="21" width="15.42578125" hidden="1" customWidth="1"/>
    <col min="22" max="23" width="0" hidden="1" customWidth="1"/>
  </cols>
  <sheetData>
    <row r="1" spans="1:14" x14ac:dyDescent="0.25">
      <c r="A1" t="s">
        <v>52</v>
      </c>
      <c r="C1" s="88">
        <v>43816</v>
      </c>
    </row>
    <row r="2" spans="1:14" x14ac:dyDescent="0.25">
      <c r="A2" t="s">
        <v>91</v>
      </c>
      <c r="C2" t="s">
        <v>84</v>
      </c>
    </row>
    <row r="3" spans="1:14" ht="15.75" thickBot="1" x14ac:dyDescent="0.3">
      <c r="K3" t="s">
        <v>41</v>
      </c>
    </row>
    <row r="4" spans="1:14" ht="15.75" x14ac:dyDescent="0.25">
      <c r="A4" s="1" t="s">
        <v>77</v>
      </c>
      <c r="C4" s="134">
        <v>6</v>
      </c>
      <c r="K4" t="s">
        <v>42</v>
      </c>
    </row>
    <row r="5" spans="1:14" ht="15.75" x14ac:dyDescent="0.25">
      <c r="A5" s="2" t="s">
        <v>1</v>
      </c>
      <c r="C5" s="3">
        <f>+C4/12</f>
        <v>0.5</v>
      </c>
      <c r="D5" s="141">
        <f>+C4/360</f>
        <v>1.6666666666666666E-2</v>
      </c>
      <c r="K5" t="s">
        <v>43</v>
      </c>
    </row>
    <row r="6" spans="1:14" ht="15.75" x14ac:dyDescent="0.25">
      <c r="A6" s="2" t="s">
        <v>3</v>
      </c>
      <c r="C6" s="4" t="s">
        <v>47</v>
      </c>
      <c r="G6" s="83">
        <f>F45*D45</f>
        <v>0</v>
      </c>
      <c r="K6" t="s">
        <v>42</v>
      </c>
      <c r="M6" s="5"/>
      <c r="N6" s="5"/>
    </row>
    <row r="7" spans="1:14" ht="78.75" hidden="1" x14ac:dyDescent="0.25">
      <c r="A7" s="6" t="s">
        <v>4</v>
      </c>
      <c r="C7" s="7">
        <v>629.39537065264267</v>
      </c>
      <c r="G7" s="5"/>
      <c r="M7" s="5"/>
      <c r="N7" s="5"/>
    </row>
    <row r="8" spans="1:14" ht="32.25" thickBot="1" x14ac:dyDescent="0.3">
      <c r="A8" s="36" t="s">
        <v>5</v>
      </c>
      <c r="C8" s="68"/>
      <c r="G8" s="5"/>
      <c r="M8" s="5"/>
      <c r="N8" s="5"/>
    </row>
    <row r="9" spans="1:14" ht="16.5" thickBot="1" x14ac:dyDescent="0.3">
      <c r="A9" s="108"/>
      <c r="C9" s="109"/>
      <c r="G9" s="5"/>
      <c r="M9" s="5"/>
      <c r="N9" s="5"/>
    </row>
    <row r="10" spans="1:14" ht="45.75" thickBot="1" x14ac:dyDescent="0.3">
      <c r="A10" s="110"/>
      <c r="B10" s="110"/>
      <c r="C10" s="142" t="s">
        <v>67</v>
      </c>
      <c r="D10" s="142" t="s">
        <v>90</v>
      </c>
      <c r="E10" s="143"/>
      <c r="F10" s="142" t="s">
        <v>79</v>
      </c>
      <c r="H10" s="111" t="s">
        <v>68</v>
      </c>
      <c r="M10" s="5"/>
      <c r="N10" s="5"/>
    </row>
    <row r="11" spans="1:14" ht="15.75" x14ac:dyDescent="0.25">
      <c r="A11" s="2" t="s">
        <v>16</v>
      </c>
      <c r="D11" s="135">
        <v>35000000000</v>
      </c>
      <c r="G11" s="5"/>
      <c r="K11" t="s">
        <v>42</v>
      </c>
      <c r="M11" s="5"/>
      <c r="N11" s="5"/>
    </row>
    <row r="12" spans="1:14" x14ac:dyDescent="0.25">
      <c r="A12" s="112" t="s">
        <v>69</v>
      </c>
      <c r="C12" s="136">
        <v>0.105</v>
      </c>
      <c r="D12" s="113">
        <f>D11*C12</f>
        <v>3675000000</v>
      </c>
      <c r="E12" s="114"/>
      <c r="F12" s="115"/>
      <c r="H12" s="116">
        <f>C12*12</f>
        <v>1.26</v>
      </c>
      <c r="M12" s="5"/>
      <c r="N12" s="5"/>
    </row>
    <row r="13" spans="1:14" ht="15.75" thickBot="1" x14ac:dyDescent="0.3">
      <c r="A13" s="117" t="s">
        <v>78</v>
      </c>
      <c r="C13" s="118">
        <v>0.105</v>
      </c>
      <c r="D13" s="119">
        <f>-D11*C13</f>
        <v>-3675000000</v>
      </c>
      <c r="E13" s="120"/>
      <c r="F13" s="121">
        <f>D12+D13</f>
        <v>0</v>
      </c>
      <c r="H13" s="116">
        <f>C13*12</f>
        <v>1.26</v>
      </c>
      <c r="M13" s="5"/>
      <c r="N13" s="5"/>
    </row>
    <row r="14" spans="1:14" x14ac:dyDescent="0.25">
      <c r="M14" s="5"/>
      <c r="N14" s="5"/>
    </row>
    <row r="15" spans="1:14" ht="15.75" thickBot="1" x14ac:dyDescent="0.3">
      <c r="M15" s="5"/>
      <c r="N15" s="5"/>
    </row>
    <row r="16" spans="1:14" x14ac:dyDescent="0.25">
      <c r="A16" s="122" t="s">
        <v>70</v>
      </c>
      <c r="C16" s="123"/>
      <c r="D16" s="123"/>
      <c r="E16" s="123"/>
      <c r="F16" s="123"/>
      <c r="G16" s="123"/>
      <c r="H16" s="124"/>
      <c r="M16" s="5"/>
      <c r="N16" s="5"/>
    </row>
    <row r="17" spans="1:14" x14ac:dyDescent="0.25">
      <c r="A17" s="125" t="s">
        <v>71</v>
      </c>
      <c r="C17" s="126">
        <v>5.0000000000000001E-3</v>
      </c>
      <c r="D17" s="127"/>
      <c r="E17" s="127"/>
      <c r="F17" s="126">
        <f>C17</f>
        <v>5.0000000000000001E-3</v>
      </c>
      <c r="G17" s="127"/>
      <c r="H17" s="128">
        <f t="shared" ref="H17:H19" si="0">C17*12</f>
        <v>0.06</v>
      </c>
      <c r="M17" s="5"/>
      <c r="N17" s="5"/>
    </row>
    <row r="18" spans="1:14" x14ac:dyDescent="0.25">
      <c r="A18" s="125" t="s">
        <v>72</v>
      </c>
      <c r="C18" s="126">
        <v>5.0000000000000001E-3</v>
      </c>
      <c r="D18" s="127"/>
      <c r="E18" s="127"/>
      <c r="F18" s="133">
        <v>0</v>
      </c>
      <c r="G18" s="127"/>
      <c r="H18" s="128">
        <f t="shared" si="0"/>
        <v>0.06</v>
      </c>
      <c r="M18" s="5"/>
      <c r="N18" s="5"/>
    </row>
    <row r="19" spans="1:14" ht="15.75" thickBot="1" x14ac:dyDescent="0.3">
      <c r="A19" s="129" t="s">
        <v>73</v>
      </c>
      <c r="C19" s="130">
        <f>C12-C17-C18</f>
        <v>9.4999999999999987E-2</v>
      </c>
      <c r="D19" s="131" t="s">
        <v>76</v>
      </c>
      <c r="E19" s="131"/>
      <c r="F19" s="130">
        <f>C19+C18</f>
        <v>9.9999999999999992E-2</v>
      </c>
      <c r="G19" s="131"/>
      <c r="H19" s="132">
        <f t="shared" si="0"/>
        <v>1.1399999999999999</v>
      </c>
      <c r="M19" s="5"/>
      <c r="N19" s="5"/>
    </row>
    <row r="20" spans="1:14" x14ac:dyDescent="0.25">
      <c r="M20" s="5"/>
      <c r="N20" s="5"/>
    </row>
    <row r="21" spans="1:14" x14ac:dyDescent="0.25">
      <c r="M21" s="5"/>
      <c r="N21" s="5"/>
    </row>
    <row r="22" spans="1:14" x14ac:dyDescent="0.25">
      <c r="A22" t="s">
        <v>74</v>
      </c>
      <c r="M22" s="5"/>
      <c r="N22" s="5"/>
    </row>
    <row r="23" spans="1:14" x14ac:dyDescent="0.25">
      <c r="A23" t="s">
        <v>75</v>
      </c>
      <c r="M23" s="5"/>
      <c r="N23" s="5"/>
    </row>
    <row r="24" spans="1:14" ht="36.75" customHeight="1" x14ac:dyDescent="0.25">
      <c r="A24" s="252" t="s">
        <v>89</v>
      </c>
      <c r="B24" s="252"/>
      <c r="C24" s="252"/>
      <c r="D24" s="252"/>
      <c r="E24" s="252"/>
      <c r="F24" s="252"/>
      <c r="G24" s="252"/>
      <c r="M24" s="5"/>
      <c r="N24" s="5"/>
    </row>
    <row r="25" spans="1:14" ht="34.5" customHeight="1" x14ac:dyDescent="0.25">
      <c r="A25" s="137" t="s">
        <v>95</v>
      </c>
      <c r="B25" s="105"/>
      <c r="C25" s="225">
        <v>89</v>
      </c>
      <c r="D25" s="144" t="s">
        <v>92</v>
      </c>
      <c r="E25" s="111" t="s">
        <v>85</v>
      </c>
      <c r="F25" s="111" t="s">
        <v>86</v>
      </c>
      <c r="G25" s="111" t="s">
        <v>87</v>
      </c>
      <c r="M25" s="5"/>
      <c r="N25" s="5"/>
    </row>
    <row r="26" spans="1:14" ht="15.75" x14ac:dyDescent="0.25">
      <c r="A26" s="137" t="s">
        <v>80</v>
      </c>
      <c r="C26" s="109" t="s">
        <v>1</v>
      </c>
      <c r="D26" s="13">
        <f>H135</f>
        <v>745382293.68860662</v>
      </c>
      <c r="G26" s="5"/>
      <c r="M26" s="5"/>
      <c r="N26" s="5"/>
    </row>
    <row r="27" spans="1:14" ht="15.75" x14ac:dyDescent="0.25">
      <c r="A27" s="108" t="s">
        <v>81</v>
      </c>
      <c r="C27" s="109" t="s">
        <v>93</v>
      </c>
      <c r="D27" s="13">
        <f>I134</f>
        <v>35000000000</v>
      </c>
      <c r="G27" s="5"/>
      <c r="M27" s="5"/>
      <c r="N27" s="5"/>
    </row>
    <row r="28" spans="1:14" ht="18" customHeight="1" x14ac:dyDescent="0.25">
      <c r="A28" s="108" t="s">
        <v>82</v>
      </c>
      <c r="C28" s="109" t="s">
        <v>96</v>
      </c>
      <c r="D28" s="72">
        <f>J134</f>
        <v>20625110287.630135</v>
      </c>
      <c r="G28" s="5"/>
      <c r="H28" s="72"/>
      <c r="M28" s="5"/>
      <c r="N28" s="5"/>
    </row>
    <row r="29" spans="1:14" ht="18" customHeight="1" x14ac:dyDescent="0.25">
      <c r="A29" s="108" t="s">
        <v>88</v>
      </c>
      <c r="C29" s="109" t="s">
        <v>1</v>
      </c>
      <c r="D29" s="72">
        <f>+D11*10%*3</f>
        <v>10500000000</v>
      </c>
      <c r="G29" s="5"/>
      <c r="M29" s="5"/>
      <c r="N29" s="5"/>
    </row>
    <row r="30" spans="1:14" ht="30" customHeight="1" thickBot="1" x14ac:dyDescent="0.3">
      <c r="A30" s="108" t="s">
        <v>83</v>
      </c>
      <c r="C30" s="109"/>
      <c r="D30" s="138">
        <f>SUM(D26:D29)</f>
        <v>66870492581.318741</v>
      </c>
      <c r="E30" s="139">
        <f>(F30/C25)*30</f>
        <v>0.30693893336743572</v>
      </c>
      <c r="F30" s="223">
        <f>D39/D27</f>
        <v>0.91058550232339264</v>
      </c>
      <c r="G30" s="140">
        <f>E30*12</f>
        <v>3.6832672004092286</v>
      </c>
      <c r="M30" s="5"/>
      <c r="N30" s="5"/>
    </row>
    <row r="31" spans="1:14" ht="16.5" thickTop="1" x14ac:dyDescent="0.25">
      <c r="A31" s="108"/>
      <c r="C31" s="109"/>
      <c r="F31" s="116"/>
      <c r="G31" s="5"/>
      <c r="M31" s="5"/>
      <c r="N31" s="5"/>
    </row>
    <row r="32" spans="1:14" ht="15.75" hidden="1" x14ac:dyDescent="0.25">
      <c r="A32" s="108"/>
      <c r="C32" s="109"/>
      <c r="G32" s="5"/>
      <c r="M32" s="5"/>
      <c r="N32" s="5"/>
    </row>
    <row r="33" spans="1:19" ht="15.75" hidden="1" x14ac:dyDescent="0.25">
      <c r="A33" s="108"/>
      <c r="C33" s="109"/>
      <c r="E33" s="72">
        <f>D27*E30</f>
        <v>10742862667.86025</v>
      </c>
      <c r="G33" s="5"/>
      <c r="M33" s="5"/>
      <c r="N33" s="5"/>
    </row>
    <row r="34" spans="1:19" ht="15.75" hidden="1" x14ac:dyDescent="0.25">
      <c r="A34" s="108"/>
      <c r="C34" s="109"/>
      <c r="E34" s="72">
        <f>E33*3</f>
        <v>32228588003.58075</v>
      </c>
      <c r="F34" s="72">
        <f>D27*F30</f>
        <v>31870492581.318741</v>
      </c>
      <c r="G34" s="5"/>
      <c r="M34" s="5"/>
      <c r="N34" s="5"/>
    </row>
    <row r="35" spans="1:19" ht="15.75" hidden="1" x14ac:dyDescent="0.25">
      <c r="A35" s="108"/>
      <c r="C35" s="109"/>
      <c r="E35" s="72">
        <f>E34*4</f>
        <v>128914352014.323</v>
      </c>
      <c r="G35" s="29">
        <f>D27*G30</f>
        <v>128914352014.323</v>
      </c>
      <c r="M35" s="5"/>
      <c r="N35" s="5"/>
    </row>
    <row r="36" spans="1:19" ht="15.75" hidden="1" x14ac:dyDescent="0.25">
      <c r="A36" s="108"/>
      <c r="C36" s="109"/>
      <c r="G36" s="5"/>
      <c r="M36" s="5"/>
      <c r="N36" s="5"/>
    </row>
    <row r="37" spans="1:19" ht="15.75" hidden="1" x14ac:dyDescent="0.25">
      <c r="A37" s="108"/>
      <c r="C37" s="109"/>
      <c r="G37" s="5"/>
      <c r="M37" s="5"/>
      <c r="N37" s="5"/>
    </row>
    <row r="38" spans="1:19" ht="15.75" x14ac:dyDescent="0.25">
      <c r="A38" s="108"/>
      <c r="C38" s="109"/>
      <c r="D38" s="72"/>
      <c r="G38" s="5"/>
      <c r="M38" s="5"/>
      <c r="N38" s="5"/>
    </row>
    <row r="39" spans="1:19" ht="15.75" x14ac:dyDescent="0.25">
      <c r="A39" s="222"/>
      <c r="C39" s="109"/>
      <c r="D39" s="72">
        <f>D30-D27</f>
        <v>31870492581.318741</v>
      </c>
      <c r="E39" s="72">
        <f>D27*E30</f>
        <v>10742862667.86025</v>
      </c>
      <c r="F39" s="224">
        <f>D27*F30</f>
        <v>31870492581.318741</v>
      </c>
      <c r="G39" s="83"/>
      <c r="M39" s="5"/>
      <c r="N39" s="5"/>
    </row>
    <row r="40" spans="1:19" ht="16.5" thickBot="1" x14ac:dyDescent="0.3">
      <c r="A40" s="108"/>
      <c r="C40" s="109"/>
      <c r="G40" s="5"/>
      <c r="M40" s="5"/>
      <c r="N40" s="5"/>
    </row>
    <row r="41" spans="1:19" ht="43.5" customHeight="1" thickBot="1" x14ac:dyDescent="0.3">
      <c r="B41" s="8"/>
      <c r="D41" s="5"/>
      <c r="E41" s="233" t="s">
        <v>6</v>
      </c>
      <c r="F41" s="234"/>
      <c r="G41" s="235"/>
      <c r="H41" s="236" t="s">
        <v>7</v>
      </c>
      <c r="I41" s="237"/>
      <c r="J41" s="237"/>
      <c r="K41" s="237"/>
      <c r="L41" s="238"/>
      <c r="M41" s="5"/>
      <c r="N41" s="5"/>
    </row>
    <row r="42" spans="1:19" ht="30.75" thickBot="1" x14ac:dyDescent="0.3">
      <c r="A42" s="9" t="s">
        <v>51</v>
      </c>
      <c r="B42" s="9" t="s">
        <v>8</v>
      </c>
      <c r="C42" s="9" t="s">
        <v>9</v>
      </c>
      <c r="D42" s="9" t="s">
        <v>10</v>
      </c>
      <c r="E42" s="37" t="s">
        <v>11</v>
      </c>
      <c r="F42" s="24" t="s">
        <v>3</v>
      </c>
      <c r="G42" s="38" t="s">
        <v>12</v>
      </c>
      <c r="H42" s="49" t="s">
        <v>11</v>
      </c>
      <c r="I42" s="239" t="s">
        <v>3</v>
      </c>
      <c r="J42" s="240"/>
      <c r="K42" s="241"/>
      <c r="L42" s="50" t="s">
        <v>12</v>
      </c>
      <c r="M42" s="9" t="s">
        <v>13</v>
      </c>
      <c r="N42" s="9" t="s">
        <v>14</v>
      </c>
      <c r="P42" t="s">
        <v>44</v>
      </c>
      <c r="Q42" t="s">
        <v>45</v>
      </c>
    </row>
    <row r="43" spans="1:19" ht="30" x14ac:dyDescent="0.25">
      <c r="B43" s="11"/>
      <c r="C43" s="11"/>
      <c r="D43" s="11"/>
      <c r="E43" s="39"/>
      <c r="F43" s="40"/>
      <c r="G43" s="41"/>
      <c r="H43" s="51"/>
      <c r="I43" s="52" t="s">
        <v>26</v>
      </c>
      <c r="J43" s="52" t="s">
        <v>27</v>
      </c>
      <c r="K43" s="52" t="s">
        <v>15</v>
      </c>
      <c r="L43" s="53"/>
      <c r="M43" s="11"/>
      <c r="N43" s="11"/>
      <c r="O43" s="87" t="s">
        <v>48</v>
      </c>
      <c r="P43" s="87" t="s">
        <v>40</v>
      </c>
      <c r="Q43" s="87" t="s">
        <v>46</v>
      </c>
    </row>
    <row r="44" spans="1:19" x14ac:dyDescent="0.25">
      <c r="A44" s="88">
        <f>C1</f>
        <v>43816</v>
      </c>
      <c r="B44" s="12"/>
      <c r="C44" s="12"/>
      <c r="D44" s="13">
        <f>VLOOKUP(A44,'IDI 18MARZO'!B:D,3,0)</f>
        <v>226.68</v>
      </c>
      <c r="E44" s="42"/>
      <c r="F44" s="43"/>
      <c r="G44" s="44"/>
      <c r="H44" s="54"/>
      <c r="I44" s="55"/>
      <c r="J44" s="55"/>
      <c r="K44" s="55"/>
      <c r="L44" s="56"/>
      <c r="M44" s="13">
        <f>+D11/D44</f>
        <v>154402682.19516498</v>
      </c>
      <c r="N44" s="13">
        <f>D11</f>
        <v>35000000000</v>
      </c>
      <c r="O44" s="72"/>
      <c r="R44" s="13">
        <f>VLOOKUP(A44,'IDI 18MARZO'!B:D,3,0)</f>
        <v>226.68</v>
      </c>
    </row>
    <row r="45" spans="1:19" x14ac:dyDescent="0.25">
      <c r="A45" s="88">
        <v>43817</v>
      </c>
      <c r="B45" s="84">
        <v>20</v>
      </c>
      <c r="C45" s="73">
        <f>+C4/360</f>
        <v>1.6666666666666666E-2</v>
      </c>
      <c r="D45" s="13">
        <f>IF(R45&gt;$D$44,R45,$D$44)</f>
        <v>229.52</v>
      </c>
      <c r="E45" s="45">
        <f t="shared" ref="E45:E76" si="1">+M44*C45/100</f>
        <v>25733.780365860832</v>
      </c>
      <c r="F45" s="82"/>
      <c r="G45" s="47">
        <f t="shared" ref="G45:G73" si="2">+E45+F45</f>
        <v>25733.780365860832</v>
      </c>
      <c r="H45" s="57">
        <f t="shared" ref="H45:H76" si="3">+E45*D45</f>
        <v>5906417.2695723781</v>
      </c>
      <c r="I45" s="58"/>
      <c r="J45" s="58">
        <f t="shared" ref="J45:J76" si="4">+F45*D45-I45</f>
        <v>0</v>
      </c>
      <c r="K45" s="58">
        <f t="shared" ref="K45:K76" si="5">+F45*D45</f>
        <v>0</v>
      </c>
      <c r="L45" s="59">
        <f t="shared" ref="L45:L73" si="6">+H45+K45</f>
        <v>5906417.2695723781</v>
      </c>
      <c r="M45" s="13">
        <f>+M44-F45</f>
        <v>154402682.19516498</v>
      </c>
      <c r="N45" s="13">
        <f t="shared" ref="N45:N76" si="7">+M45*D45</f>
        <v>35438503617.434265</v>
      </c>
      <c r="O45" s="72">
        <f>+N45-N44</f>
        <v>438503617.43426514</v>
      </c>
      <c r="P45" s="13">
        <v>166666.66666666666</v>
      </c>
      <c r="Q45" s="72">
        <f>H45-P45</f>
        <v>5739750.6029057112</v>
      </c>
      <c r="R45" s="13">
        <f>VLOOKUP(A45,'IDI 18MARZO'!B:D,3,0)</f>
        <v>229.52</v>
      </c>
      <c r="S45" s="72">
        <f>R45-R44</f>
        <v>2.8400000000000034</v>
      </c>
    </row>
    <row r="46" spans="1:19" x14ac:dyDescent="0.25">
      <c r="A46" s="88">
        <v>43818</v>
      </c>
      <c r="B46" s="84">
        <v>20</v>
      </c>
      <c r="C46" s="73">
        <f t="shared" ref="C46:C109" si="8">+C45</f>
        <v>1.6666666666666666E-2</v>
      </c>
      <c r="D46" s="13">
        <f t="shared" ref="D46:D73" si="9">IF(R46&gt;$D$44,R46,$D$44)</f>
        <v>234.39</v>
      </c>
      <c r="E46" s="45">
        <f t="shared" si="1"/>
        <v>25733.780365860832</v>
      </c>
      <c r="F46" s="82"/>
      <c r="G46" s="47">
        <f t="shared" si="2"/>
        <v>25733.780365860832</v>
      </c>
      <c r="H46" s="57">
        <f t="shared" si="3"/>
        <v>6031740.7799541196</v>
      </c>
      <c r="I46" s="58"/>
      <c r="J46" s="58">
        <f t="shared" si="4"/>
        <v>0</v>
      </c>
      <c r="K46" s="58">
        <f t="shared" si="5"/>
        <v>0</v>
      </c>
      <c r="L46" s="59">
        <f t="shared" si="6"/>
        <v>6031740.7799541196</v>
      </c>
      <c r="M46" s="13">
        <f>+M45-F46</f>
        <v>154402682.19516498</v>
      </c>
      <c r="N46" s="13">
        <f t="shared" si="7"/>
        <v>36190444679.724716</v>
      </c>
      <c r="O46" s="72">
        <f t="shared" ref="O46:O73" si="10">+N46-N45</f>
        <v>751941062.29045105</v>
      </c>
      <c r="P46" s="13">
        <v>166666.66666666666</v>
      </c>
      <c r="Q46" s="72">
        <f t="shared" ref="Q46:Q73" si="11">H46-P46</f>
        <v>5865074.1132874526</v>
      </c>
      <c r="R46" s="13">
        <f>VLOOKUP(A46,'IDI 18MARZO'!B:D,3,0)</f>
        <v>234.39</v>
      </c>
      <c r="S46" s="72">
        <f t="shared" ref="S46:S73" si="12">R46-R45</f>
        <v>4.8699999999999761</v>
      </c>
    </row>
    <row r="47" spans="1:19" x14ac:dyDescent="0.25">
      <c r="A47" s="88">
        <v>43819</v>
      </c>
      <c r="B47" s="84">
        <v>20</v>
      </c>
      <c r="C47" s="73">
        <f t="shared" si="8"/>
        <v>1.6666666666666666E-2</v>
      </c>
      <c r="D47" s="13">
        <f t="shared" si="9"/>
        <v>230.6</v>
      </c>
      <c r="E47" s="45">
        <f t="shared" si="1"/>
        <v>25733.780365860832</v>
      </c>
      <c r="F47" s="82"/>
      <c r="G47" s="47">
        <f t="shared" si="2"/>
        <v>25733.780365860832</v>
      </c>
      <c r="H47" s="57">
        <f t="shared" si="3"/>
        <v>5934209.7523675077</v>
      </c>
      <c r="I47" s="58"/>
      <c r="J47" s="58">
        <f t="shared" si="4"/>
        <v>0</v>
      </c>
      <c r="K47" s="58">
        <f t="shared" si="5"/>
        <v>0</v>
      </c>
      <c r="L47" s="59">
        <f t="shared" si="6"/>
        <v>5934209.7523675077</v>
      </c>
      <c r="M47" s="13">
        <f t="shared" ref="M47:M73" si="13">+M46-F47</f>
        <v>154402682.19516498</v>
      </c>
      <c r="N47" s="13">
        <f t="shared" si="7"/>
        <v>35605258514.20504</v>
      </c>
      <c r="O47" s="72">
        <f t="shared" si="10"/>
        <v>-585186165.51967621</v>
      </c>
      <c r="P47" s="13">
        <v>166666.66666666666</v>
      </c>
      <c r="Q47" s="72">
        <f t="shared" si="11"/>
        <v>5767543.0857008407</v>
      </c>
      <c r="R47" s="13">
        <f>VLOOKUP(A47,'IDI 18MARZO'!B:D,3,0)</f>
        <v>230.6</v>
      </c>
      <c r="S47" s="72">
        <f t="shared" si="12"/>
        <v>-3.789999999999992</v>
      </c>
    </row>
    <row r="48" spans="1:19" x14ac:dyDescent="0.25">
      <c r="A48" s="88">
        <v>43820</v>
      </c>
      <c r="B48" s="84">
        <v>20</v>
      </c>
      <c r="C48" s="73">
        <f t="shared" si="8"/>
        <v>1.6666666666666666E-2</v>
      </c>
      <c r="D48" s="13">
        <f t="shared" si="9"/>
        <v>230.6</v>
      </c>
      <c r="E48" s="45">
        <f t="shared" si="1"/>
        <v>25733.780365860832</v>
      </c>
      <c r="F48" s="82"/>
      <c r="G48" s="47">
        <f t="shared" si="2"/>
        <v>25733.780365860832</v>
      </c>
      <c r="H48" s="57">
        <f t="shared" si="3"/>
        <v>5934209.7523675077</v>
      </c>
      <c r="I48" s="58"/>
      <c r="J48" s="58">
        <f t="shared" si="4"/>
        <v>0</v>
      </c>
      <c r="K48" s="58">
        <f t="shared" si="5"/>
        <v>0</v>
      </c>
      <c r="L48" s="59">
        <f t="shared" si="6"/>
        <v>5934209.7523675077</v>
      </c>
      <c r="M48" s="13">
        <f t="shared" si="13"/>
        <v>154402682.19516498</v>
      </c>
      <c r="N48" s="13">
        <f t="shared" si="7"/>
        <v>35605258514.20504</v>
      </c>
      <c r="O48" s="72">
        <f t="shared" si="10"/>
        <v>0</v>
      </c>
      <c r="P48" s="13">
        <v>166666.66666666666</v>
      </c>
      <c r="Q48" s="72">
        <f t="shared" si="11"/>
        <v>5767543.0857008407</v>
      </c>
      <c r="R48" s="13">
        <f>VLOOKUP(A48,'IDI 18MARZO'!B:D,3,0)</f>
        <v>230.6</v>
      </c>
      <c r="S48" s="72">
        <f t="shared" si="12"/>
        <v>0</v>
      </c>
    </row>
    <row r="49" spans="1:19" x14ac:dyDescent="0.25">
      <c r="A49" s="88">
        <v>43821</v>
      </c>
      <c r="B49" s="84">
        <v>15</v>
      </c>
      <c r="C49" s="73">
        <f t="shared" si="8"/>
        <v>1.6666666666666666E-2</v>
      </c>
      <c r="D49" s="13">
        <f t="shared" si="9"/>
        <v>230.6</v>
      </c>
      <c r="E49" s="45">
        <f t="shared" si="1"/>
        <v>25733.780365860832</v>
      </c>
      <c r="F49" s="82"/>
      <c r="G49" s="47">
        <f t="shared" si="2"/>
        <v>25733.780365860832</v>
      </c>
      <c r="H49" s="57">
        <f t="shared" si="3"/>
        <v>5934209.7523675077</v>
      </c>
      <c r="I49" s="58"/>
      <c r="J49" s="58">
        <f t="shared" si="4"/>
        <v>0</v>
      </c>
      <c r="K49" s="58">
        <f t="shared" si="5"/>
        <v>0</v>
      </c>
      <c r="L49" s="59">
        <f t="shared" si="6"/>
        <v>5934209.7523675077</v>
      </c>
      <c r="M49" s="13">
        <f t="shared" si="13"/>
        <v>154402682.19516498</v>
      </c>
      <c r="N49" s="13">
        <f t="shared" si="7"/>
        <v>35605258514.20504</v>
      </c>
      <c r="O49" s="72">
        <f t="shared" si="10"/>
        <v>0</v>
      </c>
      <c r="P49" s="13">
        <v>166666.66666666666</v>
      </c>
      <c r="Q49" s="72">
        <f t="shared" si="11"/>
        <v>5767543.0857008407</v>
      </c>
      <c r="R49" s="13">
        <f>VLOOKUP(A49,'IDI 18MARZO'!B:D,3,0)</f>
        <v>230.6</v>
      </c>
      <c r="S49" s="72">
        <f t="shared" si="12"/>
        <v>0</v>
      </c>
    </row>
    <row r="50" spans="1:19" x14ac:dyDescent="0.25">
      <c r="A50" s="88">
        <v>43822</v>
      </c>
      <c r="B50" s="84">
        <v>15</v>
      </c>
      <c r="C50" s="73">
        <f t="shared" si="8"/>
        <v>1.6666666666666666E-2</v>
      </c>
      <c r="D50" s="13">
        <f t="shared" si="9"/>
        <v>228.2</v>
      </c>
      <c r="E50" s="45">
        <f t="shared" si="1"/>
        <v>25733.780365860832</v>
      </c>
      <c r="F50" s="82"/>
      <c r="G50" s="47">
        <f t="shared" si="2"/>
        <v>25733.780365860832</v>
      </c>
      <c r="H50" s="57">
        <f t="shared" si="3"/>
        <v>5872448.6794894412</v>
      </c>
      <c r="I50" s="58"/>
      <c r="J50" s="58">
        <f t="shared" si="4"/>
        <v>0</v>
      </c>
      <c r="K50" s="58">
        <f t="shared" si="5"/>
        <v>0</v>
      </c>
      <c r="L50" s="59">
        <f t="shared" si="6"/>
        <v>5872448.6794894412</v>
      </c>
      <c r="M50" s="13">
        <f t="shared" si="13"/>
        <v>154402682.19516498</v>
      </c>
      <c r="N50" s="13">
        <f t="shared" si="7"/>
        <v>35234692076.936646</v>
      </c>
      <c r="O50" s="72">
        <f t="shared" si="10"/>
        <v>-370566437.26839447</v>
      </c>
      <c r="P50" s="13">
        <v>166666.66666666666</v>
      </c>
      <c r="Q50" s="72">
        <f t="shared" si="11"/>
        <v>5705782.0128227742</v>
      </c>
      <c r="R50" s="13">
        <f>VLOOKUP(A50,'IDI 18MARZO'!B:D,3,0)</f>
        <v>228.2</v>
      </c>
      <c r="S50" s="72">
        <f t="shared" si="12"/>
        <v>-2.4000000000000057</v>
      </c>
    </row>
    <row r="51" spans="1:19" x14ac:dyDescent="0.25">
      <c r="A51" s="88">
        <v>43823</v>
      </c>
      <c r="B51" s="84">
        <v>15</v>
      </c>
      <c r="C51" s="73">
        <f t="shared" si="8"/>
        <v>1.6666666666666666E-2</v>
      </c>
      <c r="D51" s="13">
        <f t="shared" si="9"/>
        <v>228.2</v>
      </c>
      <c r="E51" s="45">
        <f t="shared" si="1"/>
        <v>25733.780365860832</v>
      </c>
      <c r="F51" s="82"/>
      <c r="G51" s="47">
        <f t="shared" si="2"/>
        <v>25733.780365860832</v>
      </c>
      <c r="H51" s="57">
        <f t="shared" si="3"/>
        <v>5872448.6794894412</v>
      </c>
      <c r="I51" s="58"/>
      <c r="J51" s="58">
        <f t="shared" si="4"/>
        <v>0</v>
      </c>
      <c r="K51" s="58">
        <f t="shared" si="5"/>
        <v>0</v>
      </c>
      <c r="L51" s="59">
        <f t="shared" si="6"/>
        <v>5872448.6794894412</v>
      </c>
      <c r="M51" s="13">
        <f t="shared" si="13"/>
        <v>154402682.19516498</v>
      </c>
      <c r="N51" s="13">
        <f t="shared" si="7"/>
        <v>35234692076.936646</v>
      </c>
      <c r="O51" s="72">
        <f t="shared" si="10"/>
        <v>0</v>
      </c>
      <c r="P51" s="13">
        <v>166666.66666666666</v>
      </c>
      <c r="Q51" s="72">
        <f t="shared" si="11"/>
        <v>5705782.0128227742</v>
      </c>
      <c r="R51" s="13">
        <f>VLOOKUP(A51,'IDI 18MARZO'!B:D,3,0)</f>
        <v>228.2</v>
      </c>
      <c r="S51" s="72">
        <f t="shared" si="12"/>
        <v>0</v>
      </c>
    </row>
    <row r="52" spans="1:19" x14ac:dyDescent="0.25">
      <c r="A52" s="88">
        <v>43824</v>
      </c>
      <c r="B52" s="84">
        <v>15</v>
      </c>
      <c r="C52" s="73">
        <f t="shared" si="8"/>
        <v>1.6666666666666666E-2</v>
      </c>
      <c r="D52" s="13">
        <f t="shared" si="9"/>
        <v>228.2</v>
      </c>
      <c r="E52" s="45">
        <f t="shared" si="1"/>
        <v>25733.780365860832</v>
      </c>
      <c r="F52" s="82"/>
      <c r="G52" s="47">
        <f t="shared" si="2"/>
        <v>25733.780365860832</v>
      </c>
      <c r="H52" s="57">
        <f t="shared" si="3"/>
        <v>5872448.6794894412</v>
      </c>
      <c r="I52" s="58"/>
      <c r="J52" s="58">
        <f t="shared" si="4"/>
        <v>0</v>
      </c>
      <c r="K52" s="58">
        <f t="shared" si="5"/>
        <v>0</v>
      </c>
      <c r="L52" s="59">
        <f t="shared" si="6"/>
        <v>5872448.6794894412</v>
      </c>
      <c r="M52" s="13">
        <f t="shared" si="13"/>
        <v>154402682.19516498</v>
      </c>
      <c r="N52" s="13">
        <f t="shared" si="7"/>
        <v>35234692076.936646</v>
      </c>
      <c r="O52" s="72">
        <f t="shared" si="10"/>
        <v>0</v>
      </c>
      <c r="P52" s="13">
        <v>166666.66666666666</v>
      </c>
      <c r="Q52" s="72">
        <f t="shared" si="11"/>
        <v>5705782.0128227742</v>
      </c>
      <c r="R52" s="13">
        <f>VLOOKUP(A52,'IDI 18MARZO'!B:D,3,0)</f>
        <v>228.2</v>
      </c>
      <c r="S52" s="72">
        <f t="shared" si="12"/>
        <v>0</v>
      </c>
    </row>
    <row r="53" spans="1:19" x14ac:dyDescent="0.25">
      <c r="A53" s="88">
        <v>43825</v>
      </c>
      <c r="B53" s="84">
        <v>10</v>
      </c>
      <c r="C53" s="73">
        <f t="shared" si="8"/>
        <v>1.6666666666666666E-2</v>
      </c>
      <c r="D53" s="13">
        <f t="shared" si="9"/>
        <v>226.68</v>
      </c>
      <c r="E53" s="45">
        <f t="shared" si="1"/>
        <v>25733.780365860832</v>
      </c>
      <c r="F53" s="82"/>
      <c r="G53" s="47">
        <f t="shared" si="2"/>
        <v>25733.780365860832</v>
      </c>
      <c r="H53" s="57">
        <f t="shared" si="3"/>
        <v>5833333.333333334</v>
      </c>
      <c r="I53" s="58"/>
      <c r="J53" s="58">
        <f t="shared" si="4"/>
        <v>0</v>
      </c>
      <c r="K53" s="58">
        <f t="shared" si="5"/>
        <v>0</v>
      </c>
      <c r="L53" s="59">
        <f t="shared" si="6"/>
        <v>5833333.333333334</v>
      </c>
      <c r="M53" s="13">
        <f t="shared" si="13"/>
        <v>154402682.19516498</v>
      </c>
      <c r="N53" s="13">
        <f t="shared" si="7"/>
        <v>35000000000</v>
      </c>
      <c r="O53" s="72">
        <f t="shared" si="10"/>
        <v>-234692076.93664551</v>
      </c>
      <c r="P53" s="13">
        <v>166666.66666666666</v>
      </c>
      <c r="Q53" s="72">
        <f t="shared" si="11"/>
        <v>5666666.666666667</v>
      </c>
      <c r="R53" s="13">
        <f>VLOOKUP(A53,'IDI 18MARZO'!B:D,3,0)</f>
        <v>222.71</v>
      </c>
      <c r="S53" s="72">
        <f t="shared" si="12"/>
        <v>-5.4899999999999807</v>
      </c>
    </row>
    <row r="54" spans="1:19" x14ac:dyDescent="0.25">
      <c r="A54" s="88">
        <v>43826</v>
      </c>
      <c r="B54" s="84">
        <v>10</v>
      </c>
      <c r="C54" s="73">
        <f t="shared" si="8"/>
        <v>1.6666666666666666E-2</v>
      </c>
      <c r="D54" s="13">
        <f t="shared" si="9"/>
        <v>226.68</v>
      </c>
      <c r="E54" s="45">
        <f t="shared" si="1"/>
        <v>25733.780365860832</v>
      </c>
      <c r="F54" s="82"/>
      <c r="G54" s="47">
        <f t="shared" si="2"/>
        <v>25733.780365860832</v>
      </c>
      <c r="H54" s="57">
        <f t="shared" si="3"/>
        <v>5833333.333333334</v>
      </c>
      <c r="I54" s="58"/>
      <c r="J54" s="58">
        <f t="shared" si="4"/>
        <v>0</v>
      </c>
      <c r="K54" s="58">
        <f t="shared" si="5"/>
        <v>0</v>
      </c>
      <c r="L54" s="59">
        <f t="shared" si="6"/>
        <v>5833333.333333334</v>
      </c>
      <c r="M54" s="13">
        <f t="shared" si="13"/>
        <v>154402682.19516498</v>
      </c>
      <c r="N54" s="13">
        <f t="shared" si="7"/>
        <v>35000000000</v>
      </c>
      <c r="O54" s="72">
        <f t="shared" si="10"/>
        <v>0</v>
      </c>
      <c r="P54" s="13">
        <v>166666.66666666666</v>
      </c>
      <c r="Q54" s="72">
        <f t="shared" si="11"/>
        <v>5666666.666666667</v>
      </c>
      <c r="R54" s="13">
        <f>VLOOKUP(A54,'IDI 18MARZO'!B:D,3,0)</f>
        <v>221.26</v>
      </c>
      <c r="S54" s="72">
        <f t="shared" si="12"/>
        <v>-1.4500000000000171</v>
      </c>
    </row>
    <row r="55" spans="1:19" x14ac:dyDescent="0.25">
      <c r="A55" s="88">
        <v>43827</v>
      </c>
      <c r="B55" s="84">
        <v>10</v>
      </c>
      <c r="C55" s="73">
        <f t="shared" si="8"/>
        <v>1.6666666666666666E-2</v>
      </c>
      <c r="D55" s="13">
        <f t="shared" si="9"/>
        <v>226.68</v>
      </c>
      <c r="E55" s="45">
        <f t="shared" si="1"/>
        <v>25733.780365860832</v>
      </c>
      <c r="F55" s="82"/>
      <c r="G55" s="47">
        <f t="shared" si="2"/>
        <v>25733.780365860832</v>
      </c>
      <c r="H55" s="57">
        <f t="shared" si="3"/>
        <v>5833333.333333334</v>
      </c>
      <c r="I55" s="58"/>
      <c r="J55" s="58">
        <f t="shared" si="4"/>
        <v>0</v>
      </c>
      <c r="K55" s="58">
        <f t="shared" si="5"/>
        <v>0</v>
      </c>
      <c r="L55" s="59">
        <f t="shared" si="6"/>
        <v>5833333.333333334</v>
      </c>
      <c r="M55" s="13">
        <f t="shared" si="13"/>
        <v>154402682.19516498</v>
      </c>
      <c r="N55" s="13">
        <f t="shared" si="7"/>
        <v>35000000000</v>
      </c>
      <c r="O55" s="72">
        <f t="shared" si="10"/>
        <v>0</v>
      </c>
      <c r="P55" s="13">
        <v>166666.66666666666</v>
      </c>
      <c r="Q55" s="72">
        <f t="shared" si="11"/>
        <v>5666666.666666667</v>
      </c>
      <c r="R55" s="13">
        <f>VLOOKUP(A55,'IDI 18MARZO'!B:D,3,0)</f>
        <v>221.26</v>
      </c>
      <c r="S55" s="72">
        <f t="shared" si="12"/>
        <v>0</v>
      </c>
    </row>
    <row r="56" spans="1:19" x14ac:dyDescent="0.25">
      <c r="A56" s="88">
        <v>43828</v>
      </c>
      <c r="B56" s="84">
        <v>10</v>
      </c>
      <c r="C56" s="73">
        <f t="shared" si="8"/>
        <v>1.6666666666666666E-2</v>
      </c>
      <c r="D56" s="13">
        <f t="shared" si="9"/>
        <v>226.68</v>
      </c>
      <c r="E56" s="45">
        <f t="shared" si="1"/>
        <v>25733.780365860832</v>
      </c>
      <c r="F56" s="82"/>
      <c r="G56" s="47">
        <f t="shared" si="2"/>
        <v>25733.780365860832</v>
      </c>
      <c r="H56" s="57">
        <f t="shared" si="3"/>
        <v>5833333.333333334</v>
      </c>
      <c r="I56" s="58"/>
      <c r="J56" s="58">
        <f t="shared" si="4"/>
        <v>0</v>
      </c>
      <c r="K56" s="58">
        <f t="shared" si="5"/>
        <v>0</v>
      </c>
      <c r="L56" s="59">
        <f t="shared" si="6"/>
        <v>5833333.333333334</v>
      </c>
      <c r="M56" s="13">
        <f t="shared" si="13"/>
        <v>154402682.19516498</v>
      </c>
      <c r="N56" s="13">
        <f t="shared" si="7"/>
        <v>35000000000</v>
      </c>
      <c r="O56" s="72">
        <f t="shared" si="10"/>
        <v>0</v>
      </c>
      <c r="P56" s="13">
        <v>166666.66666666666</v>
      </c>
      <c r="Q56" s="72">
        <f t="shared" si="11"/>
        <v>5666666.666666667</v>
      </c>
      <c r="R56" s="13">
        <f>VLOOKUP(A56,'IDI 18MARZO'!B:D,3,0)</f>
        <v>221.26</v>
      </c>
      <c r="S56" s="72">
        <f t="shared" si="12"/>
        <v>0</v>
      </c>
    </row>
    <row r="57" spans="1:19" x14ac:dyDescent="0.25">
      <c r="A57" s="88">
        <v>43829</v>
      </c>
      <c r="B57" s="84">
        <v>10</v>
      </c>
      <c r="C57" s="73">
        <f t="shared" si="8"/>
        <v>1.6666666666666666E-2</v>
      </c>
      <c r="D57" s="13">
        <f t="shared" si="9"/>
        <v>226.68</v>
      </c>
      <c r="E57" s="45">
        <f t="shared" si="1"/>
        <v>25733.780365860832</v>
      </c>
      <c r="F57" s="82"/>
      <c r="G57" s="47">
        <f t="shared" si="2"/>
        <v>25733.780365860832</v>
      </c>
      <c r="H57" s="57">
        <f t="shared" si="3"/>
        <v>5833333.333333334</v>
      </c>
      <c r="I57" s="58"/>
      <c r="J57" s="58">
        <f t="shared" si="4"/>
        <v>0</v>
      </c>
      <c r="K57" s="58">
        <f t="shared" si="5"/>
        <v>0</v>
      </c>
      <c r="L57" s="59">
        <f t="shared" si="6"/>
        <v>5833333.333333334</v>
      </c>
      <c r="M57" s="13">
        <f t="shared" si="13"/>
        <v>154402682.19516498</v>
      </c>
      <c r="N57" s="13">
        <f t="shared" si="7"/>
        <v>35000000000</v>
      </c>
      <c r="O57" s="72">
        <f t="shared" si="10"/>
        <v>0</v>
      </c>
      <c r="P57" s="13">
        <v>166666.66666666666</v>
      </c>
      <c r="Q57" s="72">
        <f t="shared" si="11"/>
        <v>5666666.666666667</v>
      </c>
      <c r="R57" s="13">
        <f>VLOOKUP(A57,'IDI 18MARZO'!B:D,3,0)</f>
        <v>224.28</v>
      </c>
      <c r="S57" s="72">
        <f t="shared" si="12"/>
        <v>3.0200000000000102</v>
      </c>
    </row>
    <row r="58" spans="1:19" x14ac:dyDescent="0.25">
      <c r="A58" s="88">
        <v>43830</v>
      </c>
      <c r="B58" s="84">
        <v>10</v>
      </c>
      <c r="C58" s="73">
        <f t="shared" si="8"/>
        <v>1.6666666666666666E-2</v>
      </c>
      <c r="D58" s="13">
        <f t="shared" si="9"/>
        <v>226.68</v>
      </c>
      <c r="E58" s="45">
        <f t="shared" si="1"/>
        <v>25733.780365860832</v>
      </c>
      <c r="F58" s="82"/>
      <c r="G58" s="47">
        <f t="shared" si="2"/>
        <v>25733.780365860832</v>
      </c>
      <c r="H58" s="57">
        <f t="shared" si="3"/>
        <v>5833333.333333334</v>
      </c>
      <c r="I58" s="58"/>
      <c r="J58" s="58">
        <f t="shared" si="4"/>
        <v>0</v>
      </c>
      <c r="K58" s="58">
        <f t="shared" si="5"/>
        <v>0</v>
      </c>
      <c r="L58" s="59">
        <f t="shared" si="6"/>
        <v>5833333.333333334</v>
      </c>
      <c r="M58" s="13">
        <f t="shared" si="13"/>
        <v>154402682.19516498</v>
      </c>
      <c r="N58" s="13">
        <f t="shared" si="7"/>
        <v>35000000000</v>
      </c>
      <c r="O58" s="72">
        <f t="shared" si="10"/>
        <v>0</v>
      </c>
      <c r="P58" s="13">
        <v>166666.66666666666</v>
      </c>
      <c r="Q58" s="72">
        <f t="shared" si="11"/>
        <v>5666666.666666667</v>
      </c>
      <c r="R58" s="13">
        <f>VLOOKUP(A58,'IDI 18MARZO'!B:D,3,0)</f>
        <v>224.28</v>
      </c>
      <c r="S58" s="72">
        <f t="shared" si="12"/>
        <v>0</v>
      </c>
    </row>
    <row r="59" spans="1:19" x14ac:dyDescent="0.25">
      <c r="A59" s="88">
        <v>43831</v>
      </c>
      <c r="B59" s="84">
        <v>10</v>
      </c>
      <c r="C59" s="73">
        <f t="shared" si="8"/>
        <v>1.6666666666666666E-2</v>
      </c>
      <c r="D59" s="13">
        <f t="shared" si="9"/>
        <v>226.68</v>
      </c>
      <c r="E59" s="45">
        <f t="shared" si="1"/>
        <v>25733.780365860832</v>
      </c>
      <c r="F59" s="82"/>
      <c r="G59" s="47">
        <f t="shared" si="2"/>
        <v>25733.780365860832</v>
      </c>
      <c r="H59" s="57">
        <f t="shared" si="3"/>
        <v>5833333.333333334</v>
      </c>
      <c r="I59" s="58"/>
      <c r="J59" s="58">
        <f t="shared" si="4"/>
        <v>0</v>
      </c>
      <c r="K59" s="58">
        <f t="shared" si="5"/>
        <v>0</v>
      </c>
      <c r="L59" s="59">
        <f t="shared" si="6"/>
        <v>5833333.333333334</v>
      </c>
      <c r="M59" s="13">
        <f t="shared" si="13"/>
        <v>154402682.19516498</v>
      </c>
      <c r="N59" s="13">
        <f t="shared" si="7"/>
        <v>35000000000</v>
      </c>
      <c r="O59" s="72">
        <f t="shared" si="10"/>
        <v>0</v>
      </c>
      <c r="P59" s="13">
        <v>166666.66666666666</v>
      </c>
      <c r="Q59" s="72">
        <f t="shared" si="11"/>
        <v>5666666.666666667</v>
      </c>
      <c r="R59" s="13">
        <f>VLOOKUP(A59,'IDI 18MARZO'!B:D,3,0)</f>
        <v>224.28</v>
      </c>
      <c r="S59" s="72">
        <f t="shared" si="12"/>
        <v>0</v>
      </c>
    </row>
    <row r="60" spans="1:19" x14ac:dyDescent="0.25">
      <c r="A60" s="88">
        <v>43832</v>
      </c>
      <c r="B60" s="84">
        <v>10</v>
      </c>
      <c r="C60" s="73">
        <f t="shared" si="8"/>
        <v>1.6666666666666666E-2</v>
      </c>
      <c r="D60" s="13">
        <f t="shared" si="9"/>
        <v>227.93</v>
      </c>
      <c r="E60" s="45">
        <f t="shared" si="1"/>
        <v>25733.780365860832</v>
      </c>
      <c r="F60" s="82"/>
      <c r="G60" s="47">
        <f t="shared" si="2"/>
        <v>25733.780365860832</v>
      </c>
      <c r="H60" s="57">
        <f t="shared" si="3"/>
        <v>5865500.5587906595</v>
      </c>
      <c r="I60" s="58"/>
      <c r="J60" s="58">
        <f t="shared" si="4"/>
        <v>0</v>
      </c>
      <c r="K60" s="58">
        <f t="shared" si="5"/>
        <v>0</v>
      </c>
      <c r="L60" s="59">
        <f t="shared" si="6"/>
        <v>5865500.5587906595</v>
      </c>
      <c r="M60" s="13">
        <f t="shared" si="13"/>
        <v>154402682.19516498</v>
      </c>
      <c r="N60" s="13">
        <f t="shared" si="7"/>
        <v>35193003352.743958</v>
      </c>
      <c r="O60" s="72">
        <f t="shared" si="10"/>
        <v>193003352.74395752</v>
      </c>
      <c r="P60" s="13">
        <v>166666.66666666666</v>
      </c>
      <c r="Q60" s="72">
        <f t="shared" si="11"/>
        <v>5698833.8921239926</v>
      </c>
      <c r="R60" s="13">
        <f>VLOOKUP(A60,'IDI 18MARZO'!B:D,3,0)</f>
        <v>227.93</v>
      </c>
      <c r="S60" s="72">
        <f t="shared" si="12"/>
        <v>3.6500000000000057</v>
      </c>
    </row>
    <row r="61" spans="1:19" x14ac:dyDescent="0.25">
      <c r="A61" s="88">
        <v>43833</v>
      </c>
      <c r="B61" s="84">
        <v>10</v>
      </c>
      <c r="C61" s="73">
        <f t="shared" si="8"/>
        <v>1.6666666666666666E-2</v>
      </c>
      <c r="D61" s="13">
        <f t="shared" si="9"/>
        <v>238.14</v>
      </c>
      <c r="E61" s="45">
        <f t="shared" si="1"/>
        <v>25733.780365860832</v>
      </c>
      <c r="F61" s="82"/>
      <c r="G61" s="47">
        <f t="shared" si="2"/>
        <v>25733.780365860832</v>
      </c>
      <c r="H61" s="57">
        <f t="shared" si="3"/>
        <v>6128242.4563260982</v>
      </c>
      <c r="I61" s="58"/>
      <c r="J61" s="58">
        <f t="shared" si="4"/>
        <v>0</v>
      </c>
      <c r="K61" s="58">
        <f t="shared" si="5"/>
        <v>0</v>
      </c>
      <c r="L61" s="59">
        <f t="shared" si="6"/>
        <v>6128242.4563260982</v>
      </c>
      <c r="M61" s="13">
        <f t="shared" si="13"/>
        <v>154402682.19516498</v>
      </c>
      <c r="N61" s="13">
        <f t="shared" si="7"/>
        <v>36769454737.956589</v>
      </c>
      <c r="O61" s="72">
        <f t="shared" si="10"/>
        <v>1576451385.2126312</v>
      </c>
      <c r="P61" s="13">
        <v>166666.66666666666</v>
      </c>
      <c r="Q61" s="72">
        <f t="shared" si="11"/>
        <v>5961575.7896594312</v>
      </c>
      <c r="R61" s="13">
        <f>VLOOKUP(A61,'IDI 18MARZO'!B:D,3,0)</f>
        <v>238.14</v>
      </c>
      <c r="S61" s="72">
        <f t="shared" si="12"/>
        <v>10.20999999999998</v>
      </c>
    </row>
    <row r="62" spans="1:19" x14ac:dyDescent="0.25">
      <c r="A62" s="88">
        <v>43834</v>
      </c>
      <c r="B62" s="84">
        <v>10</v>
      </c>
      <c r="C62" s="73">
        <f t="shared" si="8"/>
        <v>1.6666666666666666E-2</v>
      </c>
      <c r="D62" s="13">
        <f t="shared" si="9"/>
        <v>238.14</v>
      </c>
      <c r="E62" s="45">
        <f t="shared" si="1"/>
        <v>25733.780365860832</v>
      </c>
      <c r="F62" s="82"/>
      <c r="G62" s="47">
        <f t="shared" si="2"/>
        <v>25733.780365860832</v>
      </c>
      <c r="H62" s="57">
        <f t="shared" si="3"/>
        <v>6128242.4563260982</v>
      </c>
      <c r="I62" s="58"/>
      <c r="J62" s="58">
        <f t="shared" si="4"/>
        <v>0</v>
      </c>
      <c r="K62" s="58">
        <f t="shared" si="5"/>
        <v>0</v>
      </c>
      <c r="L62" s="59">
        <f t="shared" si="6"/>
        <v>6128242.4563260982</v>
      </c>
      <c r="M62" s="13">
        <f t="shared" si="13"/>
        <v>154402682.19516498</v>
      </c>
      <c r="N62" s="13">
        <f t="shared" si="7"/>
        <v>36769454737.956589</v>
      </c>
      <c r="O62" s="72">
        <f t="shared" si="10"/>
        <v>0</v>
      </c>
      <c r="P62" s="13">
        <v>166666.66666666666</v>
      </c>
      <c r="Q62" s="72">
        <f t="shared" si="11"/>
        <v>5961575.7896594312</v>
      </c>
      <c r="R62" s="13">
        <f>VLOOKUP(A62,'IDI 18MARZO'!B:D,3,0)</f>
        <v>238.14</v>
      </c>
      <c r="S62" s="72">
        <f t="shared" si="12"/>
        <v>0</v>
      </c>
    </row>
    <row r="63" spans="1:19" x14ac:dyDescent="0.25">
      <c r="A63" s="88">
        <v>43835</v>
      </c>
      <c r="B63" s="84">
        <v>10</v>
      </c>
      <c r="C63" s="73">
        <f t="shared" si="8"/>
        <v>1.6666666666666666E-2</v>
      </c>
      <c r="D63" s="13">
        <f t="shared" si="9"/>
        <v>238.14</v>
      </c>
      <c r="E63" s="45">
        <f t="shared" si="1"/>
        <v>25733.780365860832</v>
      </c>
      <c r="F63" s="82"/>
      <c r="G63" s="47">
        <f t="shared" si="2"/>
        <v>25733.780365860832</v>
      </c>
      <c r="H63" s="57">
        <f t="shared" si="3"/>
        <v>6128242.4563260982</v>
      </c>
      <c r="I63" s="58"/>
      <c r="J63" s="58">
        <f t="shared" si="4"/>
        <v>0</v>
      </c>
      <c r="K63" s="58">
        <f t="shared" si="5"/>
        <v>0</v>
      </c>
      <c r="L63" s="59">
        <f t="shared" si="6"/>
        <v>6128242.4563260982</v>
      </c>
      <c r="M63" s="13">
        <f t="shared" si="13"/>
        <v>154402682.19516498</v>
      </c>
      <c r="N63" s="13">
        <f t="shared" si="7"/>
        <v>36769454737.956589</v>
      </c>
      <c r="O63" s="72">
        <f t="shared" si="10"/>
        <v>0</v>
      </c>
      <c r="P63" s="13">
        <v>166666.66666666666</v>
      </c>
      <c r="Q63" s="72">
        <f t="shared" si="11"/>
        <v>5961575.7896594312</v>
      </c>
      <c r="R63" s="13">
        <f>VLOOKUP(A63,'IDI 18MARZO'!B:D,3,0)</f>
        <v>238.14</v>
      </c>
      <c r="S63" s="72">
        <f t="shared" si="12"/>
        <v>0</v>
      </c>
    </row>
    <row r="64" spans="1:19" x14ac:dyDescent="0.25">
      <c r="A64" s="88">
        <v>43836</v>
      </c>
      <c r="B64" s="84">
        <v>10</v>
      </c>
      <c r="C64" s="73">
        <f t="shared" si="8"/>
        <v>1.6666666666666666E-2</v>
      </c>
      <c r="D64" s="13">
        <f t="shared" si="9"/>
        <v>238.14</v>
      </c>
      <c r="E64" s="45">
        <f t="shared" si="1"/>
        <v>25733.780365860832</v>
      </c>
      <c r="F64" s="82"/>
      <c r="G64" s="47">
        <f t="shared" si="2"/>
        <v>25733.780365860832</v>
      </c>
      <c r="H64" s="57">
        <f t="shared" si="3"/>
        <v>6128242.4563260982</v>
      </c>
      <c r="I64" s="58"/>
      <c r="J64" s="58">
        <f t="shared" si="4"/>
        <v>0</v>
      </c>
      <c r="K64" s="58">
        <f t="shared" si="5"/>
        <v>0</v>
      </c>
      <c r="L64" s="59">
        <f t="shared" si="6"/>
        <v>6128242.4563260982</v>
      </c>
      <c r="M64" s="13">
        <f t="shared" si="13"/>
        <v>154402682.19516498</v>
      </c>
      <c r="N64" s="13">
        <f t="shared" si="7"/>
        <v>36769454737.956589</v>
      </c>
      <c r="O64" s="72">
        <f t="shared" si="10"/>
        <v>0</v>
      </c>
      <c r="P64" s="13">
        <v>166666.66666666666</v>
      </c>
      <c r="Q64" s="72">
        <f t="shared" si="11"/>
        <v>5961575.7896594312</v>
      </c>
      <c r="R64" s="13">
        <f>VLOOKUP(A64,'IDI 18MARZO'!B:D,3,0)</f>
        <v>238.14</v>
      </c>
      <c r="S64" s="72">
        <f t="shared" si="12"/>
        <v>0</v>
      </c>
    </row>
    <row r="65" spans="1:19" x14ac:dyDescent="0.25">
      <c r="A65" s="88">
        <v>43837</v>
      </c>
      <c r="B65" s="84">
        <v>10</v>
      </c>
      <c r="C65" s="73">
        <f t="shared" si="8"/>
        <v>1.6666666666666666E-2</v>
      </c>
      <c r="D65" s="13">
        <f t="shared" si="9"/>
        <v>266.16000000000003</v>
      </c>
      <c r="E65" s="45">
        <f t="shared" si="1"/>
        <v>25733.780365860832</v>
      </c>
      <c r="F65" s="82"/>
      <c r="G65" s="47">
        <f t="shared" si="2"/>
        <v>25733.780365860832</v>
      </c>
      <c r="H65" s="57">
        <f t="shared" si="3"/>
        <v>6849302.9821775192</v>
      </c>
      <c r="I65" s="58"/>
      <c r="J65" s="58">
        <f t="shared" si="4"/>
        <v>0</v>
      </c>
      <c r="K65" s="58">
        <f t="shared" si="5"/>
        <v>0</v>
      </c>
      <c r="L65" s="59">
        <f t="shared" si="6"/>
        <v>6849302.9821775192</v>
      </c>
      <c r="M65" s="13">
        <f t="shared" si="13"/>
        <v>154402682.19516498</v>
      </c>
      <c r="N65" s="13">
        <f t="shared" si="7"/>
        <v>41095817893.065117</v>
      </c>
      <c r="O65" s="72">
        <f t="shared" si="10"/>
        <v>4326363155.1085281</v>
      </c>
      <c r="P65" s="13">
        <v>166666.66666666666</v>
      </c>
      <c r="Q65" s="72">
        <f t="shared" si="11"/>
        <v>6682636.3155108523</v>
      </c>
      <c r="R65" s="13">
        <f>VLOOKUP(A65,'IDI 18MARZO'!B:D,3,0)</f>
        <v>266.16000000000003</v>
      </c>
      <c r="S65" s="72">
        <f t="shared" si="12"/>
        <v>28.020000000000039</v>
      </c>
    </row>
    <row r="66" spans="1:19" x14ac:dyDescent="0.25">
      <c r="A66" s="88">
        <v>43838</v>
      </c>
      <c r="B66" s="84">
        <v>10</v>
      </c>
      <c r="C66" s="73">
        <f t="shared" si="8"/>
        <v>1.6666666666666666E-2</v>
      </c>
      <c r="D66" s="13">
        <f t="shared" si="9"/>
        <v>277.39999999999998</v>
      </c>
      <c r="E66" s="45">
        <f t="shared" si="1"/>
        <v>25733.780365860832</v>
      </c>
      <c r="F66" s="82"/>
      <c r="G66" s="47">
        <f t="shared" si="2"/>
        <v>25733.780365860832</v>
      </c>
      <c r="H66" s="57">
        <f t="shared" si="3"/>
        <v>7138550.6734897941</v>
      </c>
      <c r="I66" s="58"/>
      <c r="J66" s="58">
        <f t="shared" si="4"/>
        <v>0</v>
      </c>
      <c r="K66" s="58">
        <f t="shared" si="5"/>
        <v>0</v>
      </c>
      <c r="L66" s="59">
        <f t="shared" si="6"/>
        <v>7138550.6734897941</v>
      </c>
      <c r="M66" s="13">
        <f t="shared" si="13"/>
        <v>154402682.19516498</v>
      </c>
      <c r="N66" s="13">
        <f t="shared" si="7"/>
        <v>42831304040.938759</v>
      </c>
      <c r="O66" s="72">
        <f t="shared" si="10"/>
        <v>1735486147.873642</v>
      </c>
      <c r="P66" s="13">
        <v>166666.66666666666</v>
      </c>
      <c r="Q66" s="72">
        <f t="shared" si="11"/>
        <v>6971884.0068231272</v>
      </c>
      <c r="R66" s="13">
        <f>VLOOKUP(A66,'IDI 18MARZO'!B:D,3,0)</f>
        <v>277.39999999999998</v>
      </c>
      <c r="S66" s="72">
        <f t="shared" si="12"/>
        <v>11.239999999999952</v>
      </c>
    </row>
    <row r="67" spans="1:19" x14ac:dyDescent="0.25">
      <c r="A67" s="88">
        <v>43839</v>
      </c>
      <c r="B67" s="84">
        <v>10</v>
      </c>
      <c r="C67" s="73">
        <f t="shared" si="8"/>
        <v>1.6666666666666666E-2</v>
      </c>
      <c r="D67" s="13">
        <f t="shared" si="9"/>
        <v>298.18</v>
      </c>
      <c r="E67" s="45">
        <f t="shared" si="1"/>
        <v>25733.780365860832</v>
      </c>
      <c r="F67" s="82"/>
      <c r="G67" s="47">
        <f t="shared" si="2"/>
        <v>25733.780365860832</v>
      </c>
      <c r="H67" s="57">
        <f t="shared" si="3"/>
        <v>7673298.6294923835</v>
      </c>
      <c r="I67" s="58"/>
      <c r="J67" s="58">
        <f t="shared" si="4"/>
        <v>0</v>
      </c>
      <c r="K67" s="58">
        <f t="shared" si="5"/>
        <v>0</v>
      </c>
      <c r="L67" s="59">
        <f t="shared" si="6"/>
        <v>7673298.6294923835</v>
      </c>
      <c r="M67" s="13">
        <f t="shared" si="13"/>
        <v>154402682.19516498</v>
      </c>
      <c r="N67" s="13">
        <f t="shared" si="7"/>
        <v>46039791776.954292</v>
      </c>
      <c r="O67" s="72">
        <f t="shared" si="10"/>
        <v>3208487736.0155334</v>
      </c>
      <c r="P67" s="13">
        <v>166666.66666666666</v>
      </c>
      <c r="Q67" s="72">
        <f t="shared" si="11"/>
        <v>7506631.9628257165</v>
      </c>
      <c r="R67" s="13">
        <f>VLOOKUP(A67,'IDI 18MARZO'!B:D,3,0)</f>
        <v>298.18</v>
      </c>
      <c r="S67" s="72">
        <f t="shared" si="12"/>
        <v>20.78000000000003</v>
      </c>
    </row>
    <row r="68" spans="1:19" x14ac:dyDescent="0.25">
      <c r="A68" s="88">
        <v>43840</v>
      </c>
      <c r="B68" s="84">
        <v>10</v>
      </c>
      <c r="C68" s="73">
        <f t="shared" si="8"/>
        <v>1.6666666666666666E-2</v>
      </c>
      <c r="D68" s="13">
        <f t="shared" si="9"/>
        <v>304.58</v>
      </c>
      <c r="E68" s="45">
        <f t="shared" si="1"/>
        <v>25733.780365860832</v>
      </c>
      <c r="F68" s="82"/>
      <c r="G68" s="47">
        <f t="shared" si="2"/>
        <v>25733.780365860832</v>
      </c>
      <c r="H68" s="57">
        <f t="shared" si="3"/>
        <v>7837994.8238338921</v>
      </c>
      <c r="I68" s="58"/>
      <c r="J68" s="58">
        <f t="shared" si="4"/>
        <v>0</v>
      </c>
      <c r="K68" s="58">
        <f t="shared" si="5"/>
        <v>0</v>
      </c>
      <c r="L68" s="59">
        <f t="shared" si="6"/>
        <v>7837994.8238338921</v>
      </c>
      <c r="M68" s="13">
        <f t="shared" si="13"/>
        <v>154402682.19516498</v>
      </c>
      <c r="N68" s="13">
        <f t="shared" si="7"/>
        <v>47027968943.003349</v>
      </c>
      <c r="O68" s="72">
        <f t="shared" si="10"/>
        <v>988177166.04905701</v>
      </c>
      <c r="P68" s="13">
        <v>166666.66666666666</v>
      </c>
      <c r="Q68" s="72">
        <f t="shared" si="11"/>
        <v>7671328.1571672251</v>
      </c>
      <c r="R68" s="13">
        <f>VLOOKUP(A68,'IDI 18MARZO'!B:D,3,0)</f>
        <v>304.58</v>
      </c>
      <c r="S68" s="72">
        <f t="shared" si="12"/>
        <v>6.3999999999999773</v>
      </c>
    </row>
    <row r="69" spans="1:19" x14ac:dyDescent="0.25">
      <c r="A69" s="88">
        <v>43841</v>
      </c>
      <c r="B69" s="84">
        <v>10</v>
      </c>
      <c r="C69" s="73">
        <f t="shared" si="8"/>
        <v>1.6666666666666666E-2</v>
      </c>
      <c r="D69" s="13">
        <f t="shared" si="9"/>
        <v>304.58</v>
      </c>
      <c r="E69" s="45">
        <f t="shared" si="1"/>
        <v>25733.780365860832</v>
      </c>
      <c r="F69" s="82"/>
      <c r="G69" s="47">
        <f t="shared" si="2"/>
        <v>25733.780365860832</v>
      </c>
      <c r="H69" s="57">
        <f t="shared" si="3"/>
        <v>7837994.8238338921</v>
      </c>
      <c r="I69" s="58"/>
      <c r="J69" s="58">
        <f t="shared" si="4"/>
        <v>0</v>
      </c>
      <c r="K69" s="58">
        <f t="shared" si="5"/>
        <v>0</v>
      </c>
      <c r="L69" s="59">
        <f t="shared" si="6"/>
        <v>7837994.8238338921</v>
      </c>
      <c r="M69" s="13">
        <f t="shared" si="13"/>
        <v>154402682.19516498</v>
      </c>
      <c r="N69" s="13">
        <f t="shared" si="7"/>
        <v>47027968943.003349</v>
      </c>
      <c r="O69" s="72">
        <f t="shared" si="10"/>
        <v>0</v>
      </c>
      <c r="P69" s="13">
        <v>166666.66666666666</v>
      </c>
      <c r="Q69" s="72">
        <f t="shared" si="11"/>
        <v>7671328.1571672251</v>
      </c>
      <c r="R69" s="13">
        <f>VLOOKUP(A69,'IDI 18MARZO'!B:D,3,0)</f>
        <v>304.58</v>
      </c>
      <c r="S69" s="72">
        <f t="shared" si="12"/>
        <v>0</v>
      </c>
    </row>
    <row r="70" spans="1:19" x14ac:dyDescent="0.25">
      <c r="A70" s="88">
        <v>43842</v>
      </c>
      <c r="B70" s="84">
        <v>10</v>
      </c>
      <c r="C70" s="73">
        <f t="shared" si="8"/>
        <v>1.6666666666666666E-2</v>
      </c>
      <c r="D70" s="13">
        <f t="shared" si="9"/>
        <v>304.58</v>
      </c>
      <c r="E70" s="45">
        <f t="shared" si="1"/>
        <v>25733.780365860832</v>
      </c>
      <c r="F70" s="82"/>
      <c r="G70" s="47">
        <f t="shared" si="2"/>
        <v>25733.780365860832</v>
      </c>
      <c r="H70" s="57">
        <f t="shared" si="3"/>
        <v>7837994.8238338921</v>
      </c>
      <c r="I70" s="58"/>
      <c r="J70" s="58">
        <f t="shared" si="4"/>
        <v>0</v>
      </c>
      <c r="K70" s="58">
        <f t="shared" si="5"/>
        <v>0</v>
      </c>
      <c r="L70" s="59">
        <f t="shared" si="6"/>
        <v>7837994.8238338921</v>
      </c>
      <c r="M70" s="13">
        <f t="shared" si="13"/>
        <v>154402682.19516498</v>
      </c>
      <c r="N70" s="13">
        <f t="shared" si="7"/>
        <v>47027968943.003349</v>
      </c>
      <c r="O70" s="72">
        <f t="shared" si="10"/>
        <v>0</v>
      </c>
      <c r="P70" s="13">
        <v>166666.66666666666</v>
      </c>
      <c r="Q70" s="72">
        <f t="shared" si="11"/>
        <v>7671328.1571672251</v>
      </c>
      <c r="R70" s="13">
        <f>VLOOKUP(A70,'IDI 18MARZO'!B:D,3,0)</f>
        <v>304.58</v>
      </c>
      <c r="S70" s="72">
        <f t="shared" si="12"/>
        <v>0</v>
      </c>
    </row>
    <row r="71" spans="1:19" x14ac:dyDescent="0.25">
      <c r="A71" s="88">
        <v>43843</v>
      </c>
      <c r="B71" s="84">
        <v>10</v>
      </c>
      <c r="C71" s="73">
        <f t="shared" si="8"/>
        <v>1.6666666666666666E-2</v>
      </c>
      <c r="D71" s="13">
        <f t="shared" si="9"/>
        <v>328.61</v>
      </c>
      <c r="E71" s="45">
        <f t="shared" si="1"/>
        <v>25733.780365860832</v>
      </c>
      <c r="F71" s="82"/>
      <c r="G71" s="47">
        <f t="shared" si="2"/>
        <v>25733.780365860832</v>
      </c>
      <c r="H71" s="57">
        <f t="shared" si="3"/>
        <v>8456377.5660255291</v>
      </c>
      <c r="I71" s="58"/>
      <c r="J71" s="58">
        <f t="shared" si="4"/>
        <v>0</v>
      </c>
      <c r="K71" s="58">
        <f t="shared" si="5"/>
        <v>0</v>
      </c>
      <c r="L71" s="59">
        <f t="shared" si="6"/>
        <v>8456377.5660255291</v>
      </c>
      <c r="M71" s="13">
        <f t="shared" si="13"/>
        <v>154402682.19516498</v>
      </c>
      <c r="N71" s="13">
        <f t="shared" si="7"/>
        <v>50738265396.153168</v>
      </c>
      <c r="O71" s="72">
        <f t="shared" si="10"/>
        <v>3710296453.1498184</v>
      </c>
      <c r="P71" s="13">
        <v>166666.66666666666</v>
      </c>
      <c r="Q71" s="72">
        <f t="shared" si="11"/>
        <v>8289710.8993588621</v>
      </c>
      <c r="R71" s="13">
        <f>VLOOKUP(A71,'IDI 18MARZO'!B:D,3,0)</f>
        <v>328.61</v>
      </c>
      <c r="S71" s="72">
        <f t="shared" si="12"/>
        <v>24.03000000000003</v>
      </c>
    </row>
    <row r="72" spans="1:19" x14ac:dyDescent="0.25">
      <c r="A72" s="88">
        <v>43844</v>
      </c>
      <c r="B72" s="84">
        <v>10</v>
      </c>
      <c r="C72" s="73">
        <f t="shared" si="8"/>
        <v>1.6666666666666666E-2</v>
      </c>
      <c r="D72" s="13">
        <f t="shared" si="9"/>
        <v>331.54</v>
      </c>
      <c r="E72" s="45">
        <f t="shared" si="1"/>
        <v>25733.780365860832</v>
      </c>
      <c r="F72" s="82"/>
      <c r="G72" s="47">
        <f t="shared" si="2"/>
        <v>25733.780365860832</v>
      </c>
      <c r="H72" s="57">
        <f t="shared" si="3"/>
        <v>8531777.5424975008</v>
      </c>
      <c r="I72" s="58"/>
      <c r="J72" s="58">
        <f t="shared" si="4"/>
        <v>0</v>
      </c>
      <c r="K72" s="58">
        <f t="shared" si="5"/>
        <v>0</v>
      </c>
      <c r="L72" s="59">
        <f t="shared" si="6"/>
        <v>8531777.5424975008</v>
      </c>
      <c r="M72" s="13">
        <f t="shared" si="13"/>
        <v>154402682.19516498</v>
      </c>
      <c r="N72" s="13">
        <f t="shared" si="7"/>
        <v>51190665254.985001</v>
      </c>
      <c r="O72" s="72">
        <f t="shared" si="10"/>
        <v>452399858.83183289</v>
      </c>
      <c r="P72" s="13">
        <v>166666.66666666666</v>
      </c>
      <c r="Q72" s="72">
        <f t="shared" si="11"/>
        <v>8365110.8758308338</v>
      </c>
      <c r="R72" s="13">
        <f>VLOOKUP(A72,'IDI 18MARZO'!B:D,3,0)</f>
        <v>331.54</v>
      </c>
      <c r="S72" s="72">
        <f t="shared" si="12"/>
        <v>2.9300000000000068</v>
      </c>
    </row>
    <row r="73" spans="1:19" x14ac:dyDescent="0.25">
      <c r="A73" s="88">
        <v>43845</v>
      </c>
      <c r="B73" s="84">
        <v>10</v>
      </c>
      <c r="C73" s="73">
        <f t="shared" si="8"/>
        <v>1.6666666666666666E-2</v>
      </c>
      <c r="D73" s="13">
        <f t="shared" si="9"/>
        <v>345.53</v>
      </c>
      <c r="E73" s="45">
        <f t="shared" si="1"/>
        <v>25733.780365860832</v>
      </c>
      <c r="F73" s="82"/>
      <c r="G73" s="47">
        <f t="shared" si="2"/>
        <v>25733.780365860832</v>
      </c>
      <c r="H73" s="57">
        <f t="shared" si="3"/>
        <v>8891793.1298158932</v>
      </c>
      <c r="I73" s="58"/>
      <c r="J73" s="58">
        <f t="shared" si="4"/>
        <v>0</v>
      </c>
      <c r="K73" s="58">
        <f t="shared" si="5"/>
        <v>0</v>
      </c>
      <c r="L73" s="59">
        <f t="shared" si="6"/>
        <v>8891793.1298158932</v>
      </c>
      <c r="M73" s="13">
        <f t="shared" si="13"/>
        <v>154402682.19516498</v>
      </c>
      <c r="N73" s="13">
        <f t="shared" si="7"/>
        <v>53350758778.895348</v>
      </c>
      <c r="O73" s="72">
        <f t="shared" si="10"/>
        <v>2160093523.910347</v>
      </c>
      <c r="P73" s="13">
        <v>166666.66666666666</v>
      </c>
      <c r="Q73" s="72">
        <f t="shared" si="11"/>
        <v>8725126.4631492272</v>
      </c>
      <c r="R73" s="13">
        <f>VLOOKUP(A73,'IDI 18MARZO'!B:D,3,0)</f>
        <v>345.53</v>
      </c>
      <c r="S73" s="72">
        <f t="shared" si="12"/>
        <v>13.989999999999952</v>
      </c>
    </row>
    <row r="74" spans="1:19" x14ac:dyDescent="0.25">
      <c r="A74" s="88">
        <v>43846</v>
      </c>
      <c r="B74" s="84">
        <v>10</v>
      </c>
      <c r="C74" s="73">
        <f t="shared" si="8"/>
        <v>1.6666666666666666E-2</v>
      </c>
      <c r="D74" s="13">
        <f t="shared" ref="D74:D132" si="14">IF(R74&gt;$D$44,R74,$D$44)</f>
        <v>348.13</v>
      </c>
      <c r="E74" s="45">
        <f t="shared" si="1"/>
        <v>25733.780365860832</v>
      </c>
      <c r="F74" s="82"/>
      <c r="G74" s="47">
        <f t="shared" ref="G74:G132" si="15">+E74+F74</f>
        <v>25733.780365860832</v>
      </c>
      <c r="H74" s="57">
        <f t="shared" si="3"/>
        <v>8958700.958767131</v>
      </c>
      <c r="I74" s="58"/>
      <c r="J74" s="58">
        <f t="shared" si="4"/>
        <v>0</v>
      </c>
      <c r="K74" s="58">
        <f t="shared" si="5"/>
        <v>0</v>
      </c>
      <c r="L74" s="59">
        <f t="shared" ref="L74:L133" si="16">+H74+K74</f>
        <v>8958700.958767131</v>
      </c>
      <c r="M74" s="13">
        <f t="shared" ref="M74:M133" si="17">+M73-F74</f>
        <v>154402682.19516498</v>
      </c>
      <c r="N74" s="13">
        <f t="shared" si="7"/>
        <v>53752205752.602783</v>
      </c>
      <c r="O74" s="72">
        <f t="shared" ref="O74:O132" si="18">+N74-N73</f>
        <v>401446973.70743561</v>
      </c>
      <c r="P74" s="13">
        <v>166666.66666666666</v>
      </c>
      <c r="Q74" s="72">
        <f t="shared" ref="Q74:Q133" si="19">H74-P74</f>
        <v>8792034.2921004649</v>
      </c>
      <c r="R74" s="13">
        <f>VLOOKUP(A74,'IDI 18MARZO'!B:D,3,0)</f>
        <v>348.13</v>
      </c>
      <c r="S74" s="72">
        <f t="shared" ref="S74:S133" si="20">R74-R73</f>
        <v>2.6000000000000227</v>
      </c>
    </row>
    <row r="75" spans="1:19" x14ac:dyDescent="0.25">
      <c r="A75" s="88">
        <v>43847</v>
      </c>
      <c r="B75" s="84">
        <v>10</v>
      </c>
      <c r="C75" s="73">
        <f t="shared" si="8"/>
        <v>1.6666666666666666E-2</v>
      </c>
      <c r="D75" s="13">
        <f t="shared" si="14"/>
        <v>353.12</v>
      </c>
      <c r="E75" s="45">
        <f t="shared" si="1"/>
        <v>25733.780365860832</v>
      </c>
      <c r="F75" s="82"/>
      <c r="G75" s="47">
        <f t="shared" si="15"/>
        <v>25733.780365860832</v>
      </c>
      <c r="H75" s="57">
        <f t="shared" si="3"/>
        <v>9087112.522792777</v>
      </c>
      <c r="I75" s="58"/>
      <c r="J75" s="58">
        <f t="shared" si="4"/>
        <v>0</v>
      </c>
      <c r="K75" s="58">
        <f t="shared" si="5"/>
        <v>0</v>
      </c>
      <c r="L75" s="59">
        <f t="shared" si="16"/>
        <v>9087112.522792777</v>
      </c>
      <c r="M75" s="13">
        <f t="shared" si="17"/>
        <v>154402682.19516498</v>
      </c>
      <c r="N75" s="13">
        <f t="shared" si="7"/>
        <v>54522675136.75666</v>
      </c>
      <c r="O75" s="72">
        <f t="shared" si="18"/>
        <v>770469384.15387726</v>
      </c>
      <c r="P75" s="13">
        <v>166666.66666666666</v>
      </c>
      <c r="Q75" s="72">
        <f t="shared" si="19"/>
        <v>8920445.856126111</v>
      </c>
      <c r="R75" s="13">
        <f>VLOOKUP(A75,'IDI 18MARZO'!B:D,3,0)</f>
        <v>353.12</v>
      </c>
      <c r="S75" s="72">
        <f t="shared" si="20"/>
        <v>4.9900000000000091</v>
      </c>
    </row>
    <row r="76" spans="1:19" x14ac:dyDescent="0.25">
      <c r="A76" s="88">
        <v>43848</v>
      </c>
      <c r="B76" s="84">
        <v>10</v>
      </c>
      <c r="C76" s="73">
        <f t="shared" si="8"/>
        <v>1.6666666666666666E-2</v>
      </c>
      <c r="D76" s="13">
        <f t="shared" si="14"/>
        <v>353.12</v>
      </c>
      <c r="E76" s="45">
        <f t="shared" si="1"/>
        <v>25733.780365860832</v>
      </c>
      <c r="F76" s="82"/>
      <c r="G76" s="47">
        <f t="shared" si="15"/>
        <v>25733.780365860832</v>
      </c>
      <c r="H76" s="57">
        <f t="shared" si="3"/>
        <v>9087112.522792777</v>
      </c>
      <c r="I76" s="58"/>
      <c r="J76" s="58">
        <f t="shared" si="4"/>
        <v>0</v>
      </c>
      <c r="K76" s="58">
        <f t="shared" si="5"/>
        <v>0</v>
      </c>
      <c r="L76" s="59">
        <f t="shared" si="16"/>
        <v>9087112.522792777</v>
      </c>
      <c r="M76" s="13">
        <f t="shared" si="17"/>
        <v>154402682.19516498</v>
      </c>
      <c r="N76" s="13">
        <f t="shared" si="7"/>
        <v>54522675136.75666</v>
      </c>
      <c r="O76" s="72">
        <f t="shared" si="18"/>
        <v>0</v>
      </c>
      <c r="P76" s="13">
        <v>166666.66666666666</v>
      </c>
      <c r="Q76" s="72">
        <f t="shared" si="19"/>
        <v>8920445.856126111</v>
      </c>
      <c r="R76" s="13">
        <f>VLOOKUP(A76,'IDI 18MARZO'!B:D,3,0)</f>
        <v>353.12</v>
      </c>
      <c r="S76" s="72">
        <f t="shared" si="20"/>
        <v>0</v>
      </c>
    </row>
    <row r="77" spans="1:19" x14ac:dyDescent="0.25">
      <c r="A77" s="88">
        <v>43849</v>
      </c>
      <c r="B77" s="84">
        <v>10</v>
      </c>
      <c r="C77" s="73">
        <f t="shared" si="8"/>
        <v>1.6666666666666666E-2</v>
      </c>
      <c r="D77" s="13">
        <f t="shared" si="14"/>
        <v>353.12</v>
      </c>
      <c r="E77" s="45">
        <f t="shared" ref="E77:E108" si="21">+M76*C77/100</f>
        <v>25733.780365860832</v>
      </c>
      <c r="F77" s="82"/>
      <c r="G77" s="47">
        <f t="shared" si="15"/>
        <v>25733.780365860832</v>
      </c>
      <c r="H77" s="57">
        <f t="shared" ref="H77:H108" si="22">+E77*D77</f>
        <v>9087112.522792777</v>
      </c>
      <c r="I77" s="58"/>
      <c r="J77" s="58">
        <f t="shared" ref="J77:J108" si="23">+F77*D77-I77</f>
        <v>0</v>
      </c>
      <c r="K77" s="58">
        <f t="shared" ref="K77:K108" si="24">+F77*D77</f>
        <v>0</v>
      </c>
      <c r="L77" s="59">
        <f t="shared" si="16"/>
        <v>9087112.522792777</v>
      </c>
      <c r="M77" s="13">
        <f t="shared" si="17"/>
        <v>154402682.19516498</v>
      </c>
      <c r="N77" s="13">
        <f t="shared" ref="N77:N108" si="25">+M77*D77</f>
        <v>54522675136.75666</v>
      </c>
      <c r="O77" s="72">
        <f t="shared" si="18"/>
        <v>0</v>
      </c>
      <c r="P77" s="13">
        <v>166666.66666666666</v>
      </c>
      <c r="Q77" s="72">
        <f t="shared" si="19"/>
        <v>8920445.856126111</v>
      </c>
      <c r="R77" s="13">
        <f>VLOOKUP(A77,'IDI 18MARZO'!B:D,3,0)</f>
        <v>353.12</v>
      </c>
      <c r="S77" s="72">
        <f t="shared" si="20"/>
        <v>0</v>
      </c>
    </row>
    <row r="78" spans="1:19" x14ac:dyDescent="0.25">
      <c r="A78" s="88">
        <v>43850</v>
      </c>
      <c r="B78" s="84">
        <v>10</v>
      </c>
      <c r="C78" s="73">
        <f t="shared" si="8"/>
        <v>1.6666666666666666E-2</v>
      </c>
      <c r="D78" s="13">
        <f t="shared" si="14"/>
        <v>353.12</v>
      </c>
      <c r="E78" s="45">
        <f t="shared" si="21"/>
        <v>25733.780365860832</v>
      </c>
      <c r="F78" s="82"/>
      <c r="G78" s="47">
        <f t="shared" si="15"/>
        <v>25733.780365860832</v>
      </c>
      <c r="H78" s="57">
        <f t="shared" si="22"/>
        <v>9087112.522792777</v>
      </c>
      <c r="I78" s="58"/>
      <c r="J78" s="58">
        <f t="shared" si="23"/>
        <v>0</v>
      </c>
      <c r="K78" s="58">
        <f t="shared" si="24"/>
        <v>0</v>
      </c>
      <c r="L78" s="59">
        <f t="shared" si="16"/>
        <v>9087112.522792777</v>
      </c>
      <c r="M78" s="13">
        <f t="shared" si="17"/>
        <v>154402682.19516498</v>
      </c>
      <c r="N78" s="13">
        <f t="shared" si="25"/>
        <v>54522675136.75666</v>
      </c>
      <c r="O78" s="72">
        <f t="shared" si="18"/>
        <v>0</v>
      </c>
      <c r="P78" s="13">
        <v>166666.66666666666</v>
      </c>
      <c r="Q78" s="72">
        <f t="shared" si="19"/>
        <v>8920445.856126111</v>
      </c>
      <c r="R78" s="13">
        <f>VLOOKUP(A78,'IDI 18MARZO'!B:D,3,0)</f>
        <v>353.12</v>
      </c>
      <c r="S78" s="72">
        <f t="shared" si="20"/>
        <v>0</v>
      </c>
    </row>
    <row r="79" spans="1:19" x14ac:dyDescent="0.25">
      <c r="A79" s="88">
        <v>43851</v>
      </c>
      <c r="B79" s="84">
        <v>10</v>
      </c>
      <c r="C79" s="73">
        <f t="shared" si="8"/>
        <v>1.6666666666666666E-2</v>
      </c>
      <c r="D79" s="13">
        <f t="shared" si="14"/>
        <v>362.46</v>
      </c>
      <c r="E79" s="45">
        <f t="shared" si="21"/>
        <v>25733.780365860832</v>
      </c>
      <c r="F79" s="82"/>
      <c r="G79" s="47">
        <f t="shared" si="15"/>
        <v>25733.780365860832</v>
      </c>
      <c r="H79" s="57">
        <f t="shared" si="22"/>
        <v>9327466.0314099174</v>
      </c>
      <c r="I79" s="58"/>
      <c r="J79" s="58">
        <f t="shared" si="23"/>
        <v>0</v>
      </c>
      <c r="K79" s="58">
        <f t="shared" si="24"/>
        <v>0</v>
      </c>
      <c r="L79" s="59">
        <f t="shared" si="16"/>
        <v>9327466.0314099174</v>
      </c>
      <c r="M79" s="13">
        <f t="shared" si="17"/>
        <v>154402682.19516498</v>
      </c>
      <c r="N79" s="13">
        <f t="shared" si="25"/>
        <v>55964796188.459496</v>
      </c>
      <c r="O79" s="72">
        <f t="shared" si="18"/>
        <v>1442121051.7028351</v>
      </c>
      <c r="P79" s="13">
        <v>166666.66666666666</v>
      </c>
      <c r="Q79" s="72">
        <f t="shared" si="19"/>
        <v>9160799.3647432514</v>
      </c>
      <c r="R79" s="13">
        <f>VLOOKUP(A79,'IDI 18MARZO'!B:D,3,0)</f>
        <v>362.46</v>
      </c>
      <c r="S79" s="72">
        <f t="shared" si="20"/>
        <v>9.339999999999975</v>
      </c>
    </row>
    <row r="80" spans="1:19" x14ac:dyDescent="0.25">
      <c r="A80" s="88">
        <v>43852</v>
      </c>
      <c r="B80" s="84">
        <v>10</v>
      </c>
      <c r="C80" s="73">
        <f t="shared" si="8"/>
        <v>1.6666666666666666E-2</v>
      </c>
      <c r="D80" s="13">
        <f t="shared" si="14"/>
        <v>359</v>
      </c>
      <c r="E80" s="45">
        <f t="shared" si="21"/>
        <v>25733.780365860832</v>
      </c>
      <c r="F80" s="82"/>
      <c r="G80" s="47">
        <f t="shared" si="15"/>
        <v>25733.780365860832</v>
      </c>
      <c r="H80" s="57">
        <f t="shared" si="22"/>
        <v>9238427.1513440385</v>
      </c>
      <c r="I80" s="58"/>
      <c r="J80" s="58">
        <f t="shared" si="23"/>
        <v>0</v>
      </c>
      <c r="K80" s="58">
        <f t="shared" si="24"/>
        <v>0</v>
      </c>
      <c r="L80" s="59">
        <f t="shared" si="16"/>
        <v>9238427.1513440385</v>
      </c>
      <c r="M80" s="13">
        <f t="shared" si="17"/>
        <v>154402682.19516498</v>
      </c>
      <c r="N80" s="13">
        <f t="shared" si="25"/>
        <v>55430562908.064224</v>
      </c>
      <c r="O80" s="72">
        <f t="shared" si="18"/>
        <v>-534233280.3952713</v>
      </c>
      <c r="P80" s="13">
        <v>166666.66666666666</v>
      </c>
      <c r="Q80" s="72">
        <f t="shared" si="19"/>
        <v>9071760.4846773725</v>
      </c>
      <c r="R80" s="13">
        <f>VLOOKUP(A80,'IDI 18MARZO'!B:D,3,0)</f>
        <v>359</v>
      </c>
      <c r="S80" s="72">
        <f t="shared" si="20"/>
        <v>-3.4599999999999795</v>
      </c>
    </row>
    <row r="81" spans="1:19" x14ac:dyDescent="0.25">
      <c r="A81" s="88">
        <v>43853</v>
      </c>
      <c r="B81" s="84">
        <v>10</v>
      </c>
      <c r="C81" s="73">
        <f t="shared" si="8"/>
        <v>1.6666666666666666E-2</v>
      </c>
      <c r="D81" s="13">
        <f t="shared" si="14"/>
        <v>360.32</v>
      </c>
      <c r="E81" s="45">
        <f t="shared" si="21"/>
        <v>25733.780365860832</v>
      </c>
      <c r="F81" s="82"/>
      <c r="G81" s="47">
        <f t="shared" si="15"/>
        <v>25733.780365860832</v>
      </c>
      <c r="H81" s="57">
        <f t="shared" si="22"/>
        <v>9272395.7414269745</v>
      </c>
      <c r="I81" s="58"/>
      <c r="J81" s="58">
        <f t="shared" si="23"/>
        <v>0</v>
      </c>
      <c r="K81" s="58">
        <f t="shared" si="24"/>
        <v>0</v>
      </c>
      <c r="L81" s="59">
        <f t="shared" si="16"/>
        <v>9272395.7414269745</v>
      </c>
      <c r="M81" s="13">
        <f t="shared" si="17"/>
        <v>154402682.19516498</v>
      </c>
      <c r="N81" s="13">
        <f t="shared" si="25"/>
        <v>55634374448.561844</v>
      </c>
      <c r="O81" s="72">
        <f t="shared" si="18"/>
        <v>203811540.49761963</v>
      </c>
      <c r="P81" s="13">
        <v>166666.66666666666</v>
      </c>
      <c r="Q81" s="72">
        <f t="shared" si="19"/>
        <v>9105729.0747603085</v>
      </c>
      <c r="R81" s="13">
        <f>VLOOKUP(A81,'IDI 18MARZO'!B:D,3,0)</f>
        <v>360.32</v>
      </c>
      <c r="S81" s="72">
        <f t="shared" si="20"/>
        <v>1.3199999999999932</v>
      </c>
    </row>
    <row r="82" spans="1:19" x14ac:dyDescent="0.25">
      <c r="A82" s="88">
        <v>43854</v>
      </c>
      <c r="B82" s="84">
        <v>10</v>
      </c>
      <c r="C82" s="73">
        <f t="shared" si="8"/>
        <v>1.6666666666666666E-2</v>
      </c>
      <c r="D82" s="13">
        <f t="shared" si="14"/>
        <v>362.97</v>
      </c>
      <c r="E82" s="45">
        <f t="shared" si="21"/>
        <v>25733.780365860832</v>
      </c>
      <c r="F82" s="82"/>
      <c r="G82" s="47">
        <f t="shared" si="15"/>
        <v>25733.780365860832</v>
      </c>
      <c r="H82" s="57">
        <f t="shared" si="22"/>
        <v>9340590.2593965065</v>
      </c>
      <c r="I82" s="58"/>
      <c r="J82" s="58">
        <f t="shared" si="23"/>
        <v>0</v>
      </c>
      <c r="K82" s="58">
        <f t="shared" si="24"/>
        <v>0</v>
      </c>
      <c r="L82" s="59">
        <f t="shared" si="16"/>
        <v>9340590.2593965065</v>
      </c>
      <c r="M82" s="13">
        <f t="shared" si="17"/>
        <v>154402682.19516498</v>
      </c>
      <c r="N82" s="13">
        <f t="shared" si="25"/>
        <v>56043541556.379036</v>
      </c>
      <c r="O82" s="72">
        <f t="shared" si="18"/>
        <v>409167107.81719208</v>
      </c>
      <c r="P82" s="13">
        <v>166666.66666666666</v>
      </c>
      <c r="Q82" s="72">
        <f t="shared" si="19"/>
        <v>9173923.5927298404</v>
      </c>
      <c r="R82" s="13">
        <f>VLOOKUP(A82,'IDI 18MARZO'!B:D,3,0)</f>
        <v>362.97</v>
      </c>
      <c r="S82" s="72">
        <f t="shared" si="20"/>
        <v>2.6500000000000341</v>
      </c>
    </row>
    <row r="83" spans="1:19" x14ac:dyDescent="0.25">
      <c r="A83" s="88">
        <v>43855</v>
      </c>
      <c r="B83" s="84">
        <v>10</v>
      </c>
      <c r="C83" s="73">
        <f t="shared" si="8"/>
        <v>1.6666666666666666E-2</v>
      </c>
      <c r="D83" s="13">
        <f t="shared" si="14"/>
        <v>362.97</v>
      </c>
      <c r="E83" s="45">
        <f t="shared" si="21"/>
        <v>25733.780365860832</v>
      </c>
      <c r="F83" s="82"/>
      <c r="G83" s="47">
        <f t="shared" si="15"/>
        <v>25733.780365860832</v>
      </c>
      <c r="H83" s="57">
        <f t="shared" si="22"/>
        <v>9340590.2593965065</v>
      </c>
      <c r="I83" s="58"/>
      <c r="J83" s="58">
        <f t="shared" si="23"/>
        <v>0</v>
      </c>
      <c r="K83" s="58">
        <f t="shared" si="24"/>
        <v>0</v>
      </c>
      <c r="L83" s="59">
        <f t="shared" si="16"/>
        <v>9340590.2593965065</v>
      </c>
      <c r="M83" s="13">
        <f t="shared" si="17"/>
        <v>154402682.19516498</v>
      </c>
      <c r="N83" s="13">
        <f t="shared" si="25"/>
        <v>56043541556.379036</v>
      </c>
      <c r="O83" s="72">
        <f t="shared" si="18"/>
        <v>0</v>
      </c>
      <c r="P83" s="13">
        <v>166666.66666666666</v>
      </c>
      <c r="Q83" s="72">
        <f t="shared" si="19"/>
        <v>9173923.5927298404</v>
      </c>
      <c r="R83" s="13">
        <f>VLOOKUP(A83,'IDI 18MARZO'!B:D,3,0)</f>
        <v>362.97</v>
      </c>
      <c r="S83" s="72">
        <f t="shared" si="20"/>
        <v>0</v>
      </c>
    </row>
    <row r="84" spans="1:19" x14ac:dyDescent="0.25">
      <c r="A84" s="88">
        <v>43856</v>
      </c>
      <c r="B84" s="84">
        <v>10</v>
      </c>
      <c r="C84" s="73">
        <f t="shared" si="8"/>
        <v>1.6666666666666666E-2</v>
      </c>
      <c r="D84" s="13">
        <f t="shared" si="14"/>
        <v>362.97</v>
      </c>
      <c r="E84" s="45">
        <f t="shared" si="21"/>
        <v>25733.780365860832</v>
      </c>
      <c r="F84" s="82"/>
      <c r="G84" s="47">
        <f t="shared" si="15"/>
        <v>25733.780365860832</v>
      </c>
      <c r="H84" s="57">
        <f t="shared" si="22"/>
        <v>9340590.2593965065</v>
      </c>
      <c r="I84" s="58"/>
      <c r="J84" s="58">
        <f t="shared" si="23"/>
        <v>0</v>
      </c>
      <c r="K84" s="58">
        <f t="shared" si="24"/>
        <v>0</v>
      </c>
      <c r="L84" s="59">
        <f t="shared" si="16"/>
        <v>9340590.2593965065</v>
      </c>
      <c r="M84" s="13">
        <f t="shared" si="17"/>
        <v>154402682.19516498</v>
      </c>
      <c r="N84" s="13">
        <f t="shared" si="25"/>
        <v>56043541556.379036</v>
      </c>
      <c r="O84" s="72">
        <f t="shared" si="18"/>
        <v>0</v>
      </c>
      <c r="P84" s="13">
        <v>166666.66666666666</v>
      </c>
      <c r="Q84" s="72">
        <f t="shared" si="19"/>
        <v>9173923.5927298404</v>
      </c>
      <c r="R84" s="13">
        <f>VLOOKUP(A84,'IDI 18MARZO'!B:D,3,0)</f>
        <v>362.97</v>
      </c>
      <c r="S84" s="72">
        <f t="shared" si="20"/>
        <v>0</v>
      </c>
    </row>
    <row r="85" spans="1:19" x14ac:dyDescent="0.25">
      <c r="A85" s="88">
        <v>43857</v>
      </c>
      <c r="B85" s="84">
        <v>10</v>
      </c>
      <c r="C85" s="73">
        <f t="shared" si="8"/>
        <v>1.6666666666666666E-2</v>
      </c>
      <c r="D85" s="13">
        <f t="shared" si="14"/>
        <v>365.08</v>
      </c>
      <c r="E85" s="45">
        <f t="shared" si="21"/>
        <v>25733.780365860832</v>
      </c>
      <c r="F85" s="82"/>
      <c r="G85" s="47">
        <f t="shared" si="15"/>
        <v>25733.780365860832</v>
      </c>
      <c r="H85" s="57">
        <f t="shared" si="22"/>
        <v>9394888.5359684713</v>
      </c>
      <c r="I85" s="58"/>
      <c r="J85" s="58">
        <f t="shared" si="23"/>
        <v>0</v>
      </c>
      <c r="K85" s="58">
        <f t="shared" si="24"/>
        <v>0</v>
      </c>
      <c r="L85" s="59">
        <f t="shared" si="16"/>
        <v>9394888.5359684713</v>
      </c>
      <c r="M85" s="13">
        <f t="shared" si="17"/>
        <v>154402682.19516498</v>
      </c>
      <c r="N85" s="13">
        <f t="shared" si="25"/>
        <v>56369331215.810829</v>
      </c>
      <c r="O85" s="72">
        <f t="shared" si="18"/>
        <v>325789659.43179321</v>
      </c>
      <c r="P85" s="13">
        <v>166666.66666666666</v>
      </c>
      <c r="Q85" s="72">
        <f t="shared" si="19"/>
        <v>9228221.8693018053</v>
      </c>
      <c r="R85" s="13">
        <f>VLOOKUP(A85,'IDI 18MARZO'!B:D,3,0)</f>
        <v>365.08</v>
      </c>
      <c r="S85" s="72">
        <f t="shared" si="20"/>
        <v>2.1099999999999568</v>
      </c>
    </row>
    <row r="86" spans="1:19" x14ac:dyDescent="0.25">
      <c r="A86" s="88">
        <v>43858</v>
      </c>
      <c r="B86" s="84">
        <v>10</v>
      </c>
      <c r="C86" s="73">
        <f t="shared" si="8"/>
        <v>1.6666666666666666E-2</v>
      </c>
      <c r="D86" s="13">
        <f t="shared" si="14"/>
        <v>363.95</v>
      </c>
      <c r="E86" s="45">
        <f t="shared" si="21"/>
        <v>25733.780365860832</v>
      </c>
      <c r="F86" s="82"/>
      <c r="G86" s="47">
        <f t="shared" si="15"/>
        <v>25733.780365860832</v>
      </c>
      <c r="H86" s="57">
        <f t="shared" si="22"/>
        <v>9365809.3641550504</v>
      </c>
      <c r="I86" s="58"/>
      <c r="J86" s="58">
        <f t="shared" si="23"/>
        <v>0</v>
      </c>
      <c r="K86" s="58">
        <f t="shared" si="24"/>
        <v>0</v>
      </c>
      <c r="L86" s="59">
        <f t="shared" si="16"/>
        <v>9365809.3641550504</v>
      </c>
      <c r="M86" s="13">
        <f t="shared" si="17"/>
        <v>154402682.19516498</v>
      </c>
      <c r="N86" s="13">
        <f t="shared" si="25"/>
        <v>56194856184.93029</v>
      </c>
      <c r="O86" s="72">
        <f t="shared" si="18"/>
        <v>-174475030.88053894</v>
      </c>
      <c r="P86" s="13">
        <v>166666.66666666666</v>
      </c>
      <c r="Q86" s="72">
        <f t="shared" si="19"/>
        <v>9199142.6974883843</v>
      </c>
      <c r="R86" s="13">
        <f>VLOOKUP(A86,'IDI 18MARZO'!B:D,3,0)</f>
        <v>363.95</v>
      </c>
      <c r="S86" s="72">
        <f t="shared" si="20"/>
        <v>-1.1299999999999955</v>
      </c>
    </row>
    <row r="87" spans="1:19" x14ac:dyDescent="0.25">
      <c r="A87" s="88">
        <v>43859</v>
      </c>
      <c r="B87" s="84">
        <v>10</v>
      </c>
      <c r="C87" s="73">
        <f t="shared" si="8"/>
        <v>1.6666666666666666E-2</v>
      </c>
      <c r="D87" s="13">
        <f t="shared" si="14"/>
        <v>365.34</v>
      </c>
      <c r="E87" s="45">
        <f t="shared" si="21"/>
        <v>25733.780365860832</v>
      </c>
      <c r="F87" s="82"/>
      <c r="G87" s="47">
        <f t="shared" si="15"/>
        <v>25733.780365860832</v>
      </c>
      <c r="H87" s="57">
        <f t="shared" si="22"/>
        <v>9401579.3188635949</v>
      </c>
      <c r="I87" s="58"/>
      <c r="J87" s="58">
        <f t="shared" si="23"/>
        <v>0</v>
      </c>
      <c r="K87" s="58">
        <f t="shared" si="24"/>
        <v>0</v>
      </c>
      <c r="L87" s="59">
        <f t="shared" si="16"/>
        <v>9401579.3188635949</v>
      </c>
      <c r="M87" s="13">
        <f t="shared" si="17"/>
        <v>154402682.19516498</v>
      </c>
      <c r="N87" s="13">
        <f t="shared" si="25"/>
        <v>56409475913.181572</v>
      </c>
      <c r="O87" s="72">
        <f t="shared" si="18"/>
        <v>214619728.25128174</v>
      </c>
      <c r="P87" s="13">
        <v>166666.66666666666</v>
      </c>
      <c r="Q87" s="72">
        <f t="shared" si="19"/>
        <v>9234912.6521969289</v>
      </c>
      <c r="R87" s="13">
        <f>VLOOKUP(A87,'IDI 18MARZO'!B:D,3,0)</f>
        <v>365.34</v>
      </c>
      <c r="S87" s="72">
        <f t="shared" si="20"/>
        <v>1.3899999999999864</v>
      </c>
    </row>
    <row r="88" spans="1:19" x14ac:dyDescent="0.25">
      <c r="A88" s="88">
        <v>43860</v>
      </c>
      <c r="B88" s="84">
        <v>10</v>
      </c>
      <c r="C88" s="73">
        <f t="shared" si="8"/>
        <v>1.6666666666666666E-2</v>
      </c>
      <c r="D88" s="13">
        <f t="shared" si="14"/>
        <v>366.2</v>
      </c>
      <c r="E88" s="45">
        <f t="shared" si="21"/>
        <v>25733.780365860832</v>
      </c>
      <c r="F88" s="82"/>
      <c r="G88" s="47">
        <f t="shared" si="15"/>
        <v>25733.780365860832</v>
      </c>
      <c r="H88" s="57">
        <f t="shared" si="22"/>
        <v>9423710.369978236</v>
      </c>
      <c r="I88" s="58"/>
      <c r="J88" s="58">
        <f t="shared" si="23"/>
        <v>0</v>
      </c>
      <c r="K88" s="58">
        <f t="shared" si="24"/>
        <v>0</v>
      </c>
      <c r="L88" s="59">
        <f t="shared" si="16"/>
        <v>9423710.369978236</v>
      </c>
      <c r="M88" s="13">
        <f t="shared" si="17"/>
        <v>154402682.19516498</v>
      </c>
      <c r="N88" s="13">
        <f t="shared" si="25"/>
        <v>56542262219.869415</v>
      </c>
      <c r="O88" s="72">
        <f t="shared" si="18"/>
        <v>132786306.68784332</v>
      </c>
      <c r="P88" s="13">
        <v>166666.66666666666</v>
      </c>
      <c r="Q88" s="72">
        <f t="shared" si="19"/>
        <v>9257043.70331157</v>
      </c>
      <c r="R88" s="13">
        <f>VLOOKUP(A88,'IDI 18MARZO'!B:D,3,0)</f>
        <v>366.2</v>
      </c>
      <c r="S88" s="72">
        <f t="shared" si="20"/>
        <v>0.86000000000001364</v>
      </c>
    </row>
    <row r="89" spans="1:19" x14ac:dyDescent="0.25">
      <c r="A89" s="88">
        <v>43861</v>
      </c>
      <c r="B89" s="84">
        <v>10</v>
      </c>
      <c r="C89" s="73">
        <f t="shared" si="8"/>
        <v>1.6666666666666666E-2</v>
      </c>
      <c r="D89" s="13">
        <f t="shared" si="14"/>
        <v>366.62</v>
      </c>
      <c r="E89" s="45">
        <f t="shared" si="21"/>
        <v>25733.780365860832</v>
      </c>
      <c r="F89" s="82"/>
      <c r="G89" s="47">
        <f t="shared" si="15"/>
        <v>25733.780365860832</v>
      </c>
      <c r="H89" s="57">
        <f t="shared" si="22"/>
        <v>9434518.5577318985</v>
      </c>
      <c r="I89" s="58"/>
      <c r="J89" s="58">
        <f t="shared" si="23"/>
        <v>0</v>
      </c>
      <c r="K89" s="58">
        <f t="shared" si="24"/>
        <v>0</v>
      </c>
      <c r="L89" s="59">
        <f t="shared" si="16"/>
        <v>9434518.5577318985</v>
      </c>
      <c r="M89" s="13">
        <f t="shared" si="17"/>
        <v>154402682.19516498</v>
      </c>
      <c r="N89" s="13">
        <f t="shared" si="25"/>
        <v>56607111346.391388</v>
      </c>
      <c r="O89" s="72">
        <f t="shared" si="18"/>
        <v>64849126.521972656</v>
      </c>
      <c r="P89" s="13">
        <v>166666.66666666666</v>
      </c>
      <c r="Q89" s="72">
        <f t="shared" si="19"/>
        <v>9267851.8910652325</v>
      </c>
      <c r="R89" s="13">
        <f>VLOOKUP(A89,'IDI 18MARZO'!B:D,3,0)</f>
        <v>366.62</v>
      </c>
      <c r="S89" s="72">
        <f t="shared" si="20"/>
        <v>0.42000000000001592</v>
      </c>
    </row>
    <row r="90" spans="1:19" x14ac:dyDescent="0.25">
      <c r="A90" s="88">
        <v>43862</v>
      </c>
      <c r="B90" s="84">
        <v>10</v>
      </c>
      <c r="C90" s="73">
        <f t="shared" si="8"/>
        <v>1.6666666666666666E-2</v>
      </c>
      <c r="D90" s="13">
        <f t="shared" si="14"/>
        <v>366.62</v>
      </c>
      <c r="E90" s="45">
        <f t="shared" si="21"/>
        <v>25733.780365860832</v>
      </c>
      <c r="F90" s="82"/>
      <c r="G90" s="47">
        <f t="shared" si="15"/>
        <v>25733.780365860832</v>
      </c>
      <c r="H90" s="57">
        <f t="shared" si="22"/>
        <v>9434518.5577318985</v>
      </c>
      <c r="I90" s="58"/>
      <c r="J90" s="58">
        <f t="shared" si="23"/>
        <v>0</v>
      </c>
      <c r="K90" s="58">
        <f t="shared" si="24"/>
        <v>0</v>
      </c>
      <c r="L90" s="59">
        <f t="shared" si="16"/>
        <v>9434518.5577318985</v>
      </c>
      <c r="M90" s="13">
        <f t="shared" si="17"/>
        <v>154402682.19516498</v>
      </c>
      <c r="N90" s="13">
        <f t="shared" si="25"/>
        <v>56607111346.391388</v>
      </c>
      <c r="O90" s="72">
        <f t="shared" si="18"/>
        <v>0</v>
      </c>
      <c r="P90" s="13">
        <v>166666.66666666666</v>
      </c>
      <c r="Q90" s="72">
        <f t="shared" si="19"/>
        <v>9267851.8910652325</v>
      </c>
      <c r="R90" s="13">
        <f>VLOOKUP(A90,'IDI 18MARZO'!B:D,3,0)</f>
        <v>366.62</v>
      </c>
      <c r="S90" s="72">
        <f t="shared" si="20"/>
        <v>0</v>
      </c>
    </row>
    <row r="91" spans="1:19" x14ac:dyDescent="0.25">
      <c r="A91" s="88">
        <v>43863</v>
      </c>
      <c r="B91" s="84">
        <v>10</v>
      </c>
      <c r="C91" s="73">
        <f t="shared" si="8"/>
        <v>1.6666666666666666E-2</v>
      </c>
      <c r="D91" s="13">
        <f t="shared" si="14"/>
        <v>366.62</v>
      </c>
      <c r="E91" s="45">
        <f t="shared" si="21"/>
        <v>25733.780365860832</v>
      </c>
      <c r="F91" s="82"/>
      <c r="G91" s="47">
        <f t="shared" si="15"/>
        <v>25733.780365860832</v>
      </c>
      <c r="H91" s="57">
        <f t="shared" si="22"/>
        <v>9434518.5577318985</v>
      </c>
      <c r="I91" s="58"/>
      <c r="J91" s="58">
        <f t="shared" si="23"/>
        <v>0</v>
      </c>
      <c r="K91" s="58">
        <f t="shared" si="24"/>
        <v>0</v>
      </c>
      <c r="L91" s="59">
        <f t="shared" si="16"/>
        <v>9434518.5577318985</v>
      </c>
      <c r="M91" s="13">
        <f t="shared" si="17"/>
        <v>154402682.19516498</v>
      </c>
      <c r="N91" s="13">
        <f t="shared" si="25"/>
        <v>56607111346.391388</v>
      </c>
      <c r="O91" s="72">
        <f t="shared" si="18"/>
        <v>0</v>
      </c>
      <c r="P91" s="13">
        <v>166666.66666666666</v>
      </c>
      <c r="Q91" s="72">
        <f t="shared" si="19"/>
        <v>9267851.8910652325</v>
      </c>
      <c r="R91" s="13">
        <f>VLOOKUP(A91,'IDI 18MARZO'!B:D,3,0)</f>
        <v>366.62</v>
      </c>
      <c r="S91" s="72">
        <f t="shared" si="20"/>
        <v>0</v>
      </c>
    </row>
    <row r="92" spans="1:19" x14ac:dyDescent="0.25">
      <c r="A92" s="88">
        <v>43864</v>
      </c>
      <c r="B92" s="84">
        <v>10</v>
      </c>
      <c r="C92" s="73">
        <f t="shared" si="8"/>
        <v>1.6666666666666666E-2</v>
      </c>
      <c r="D92" s="13">
        <f t="shared" si="14"/>
        <v>361.91</v>
      </c>
      <c r="E92" s="45">
        <f t="shared" si="21"/>
        <v>25733.780365860832</v>
      </c>
      <c r="F92" s="82"/>
      <c r="G92" s="47">
        <f t="shared" si="15"/>
        <v>25733.780365860832</v>
      </c>
      <c r="H92" s="57">
        <f t="shared" si="22"/>
        <v>9313312.4522086941</v>
      </c>
      <c r="I92" s="58"/>
      <c r="J92" s="58">
        <f t="shared" si="23"/>
        <v>0</v>
      </c>
      <c r="K92" s="58">
        <f t="shared" si="24"/>
        <v>0</v>
      </c>
      <c r="L92" s="59">
        <f t="shared" si="16"/>
        <v>9313312.4522086941</v>
      </c>
      <c r="M92" s="13">
        <f t="shared" si="17"/>
        <v>154402682.19516498</v>
      </c>
      <c r="N92" s="13">
        <f t="shared" si="25"/>
        <v>55879874713.252159</v>
      </c>
      <c r="O92" s="72">
        <f t="shared" si="18"/>
        <v>-727236633.13922882</v>
      </c>
      <c r="P92" s="13">
        <v>166666.66666666666</v>
      </c>
      <c r="Q92" s="72">
        <f t="shared" si="19"/>
        <v>9146645.785542028</v>
      </c>
      <c r="R92" s="13">
        <f>VLOOKUP(A92,'IDI 18MARZO'!B:D,3,0)</f>
        <v>361.91</v>
      </c>
      <c r="S92" s="72">
        <f t="shared" si="20"/>
        <v>-4.7099999999999795</v>
      </c>
    </row>
    <row r="93" spans="1:19" x14ac:dyDescent="0.25">
      <c r="A93" s="88">
        <v>43865</v>
      </c>
      <c r="B93" s="84">
        <v>10</v>
      </c>
      <c r="C93" s="73">
        <f t="shared" si="8"/>
        <v>1.6666666666666666E-2</v>
      </c>
      <c r="D93" s="13">
        <f t="shared" si="14"/>
        <v>356.61</v>
      </c>
      <c r="E93" s="45">
        <f t="shared" si="21"/>
        <v>25733.780365860832</v>
      </c>
      <c r="F93" s="82"/>
      <c r="G93" s="47">
        <f t="shared" si="15"/>
        <v>25733.780365860832</v>
      </c>
      <c r="H93" s="57">
        <f t="shared" si="22"/>
        <v>9176923.4162696321</v>
      </c>
      <c r="I93" s="58"/>
      <c r="J93" s="58">
        <f t="shared" si="23"/>
        <v>0</v>
      </c>
      <c r="K93" s="58">
        <f t="shared" si="24"/>
        <v>0</v>
      </c>
      <c r="L93" s="59">
        <f t="shared" si="16"/>
        <v>9176923.4162696321</v>
      </c>
      <c r="M93" s="13">
        <f t="shared" si="17"/>
        <v>154402682.19516498</v>
      </c>
      <c r="N93" s="13">
        <f t="shared" si="25"/>
        <v>55061540497.617783</v>
      </c>
      <c r="O93" s="72">
        <f t="shared" si="18"/>
        <v>-818334215.63437653</v>
      </c>
      <c r="P93" s="13">
        <v>166666.66666666666</v>
      </c>
      <c r="Q93" s="72">
        <f t="shared" si="19"/>
        <v>9010256.749602966</v>
      </c>
      <c r="R93" s="13">
        <f>VLOOKUP(A93,'IDI 18MARZO'!B:D,3,0)</f>
        <v>356.61</v>
      </c>
      <c r="S93" s="72">
        <f t="shared" si="20"/>
        <v>-5.3000000000000114</v>
      </c>
    </row>
    <row r="94" spans="1:19" x14ac:dyDescent="0.25">
      <c r="A94" s="88">
        <v>43866</v>
      </c>
      <c r="B94" s="84">
        <v>10</v>
      </c>
      <c r="C94" s="73">
        <f t="shared" si="8"/>
        <v>1.6666666666666666E-2</v>
      </c>
      <c r="D94" s="13">
        <f t="shared" si="14"/>
        <v>358.56</v>
      </c>
      <c r="E94" s="45">
        <f t="shared" si="21"/>
        <v>25733.780365860832</v>
      </c>
      <c r="F94" s="82"/>
      <c r="G94" s="47">
        <f t="shared" si="15"/>
        <v>25733.780365860832</v>
      </c>
      <c r="H94" s="57">
        <f t="shared" si="22"/>
        <v>9227104.2879830599</v>
      </c>
      <c r="I94" s="58"/>
      <c r="J94" s="58">
        <f t="shared" si="23"/>
        <v>0</v>
      </c>
      <c r="K94" s="58">
        <f t="shared" si="24"/>
        <v>0</v>
      </c>
      <c r="L94" s="59">
        <f t="shared" si="16"/>
        <v>9227104.2879830599</v>
      </c>
      <c r="M94" s="13">
        <f t="shared" si="17"/>
        <v>154402682.19516498</v>
      </c>
      <c r="N94" s="13">
        <f t="shared" si="25"/>
        <v>55362625727.898354</v>
      </c>
      <c r="O94" s="72">
        <f t="shared" si="18"/>
        <v>301085230.28057098</v>
      </c>
      <c r="P94" s="13">
        <v>166666.66666666666</v>
      </c>
      <c r="Q94" s="72">
        <f t="shared" si="19"/>
        <v>9060437.6213163938</v>
      </c>
      <c r="R94" s="13">
        <f>VLOOKUP(A94,'IDI 18MARZO'!B:D,3,0)</f>
        <v>358.56</v>
      </c>
      <c r="S94" s="72">
        <f t="shared" si="20"/>
        <v>1.9499999999999886</v>
      </c>
    </row>
    <row r="95" spans="1:19" x14ac:dyDescent="0.25">
      <c r="A95" s="88">
        <v>43867</v>
      </c>
      <c r="B95" s="84">
        <v>10</v>
      </c>
      <c r="C95" s="73">
        <f t="shared" si="8"/>
        <v>1.6666666666666666E-2</v>
      </c>
      <c r="D95" s="13">
        <f t="shared" si="14"/>
        <v>359.86</v>
      </c>
      <c r="E95" s="45">
        <f t="shared" si="21"/>
        <v>25733.780365860832</v>
      </c>
      <c r="F95" s="82"/>
      <c r="G95" s="47">
        <f t="shared" si="15"/>
        <v>25733.780365860832</v>
      </c>
      <c r="H95" s="57">
        <f t="shared" si="22"/>
        <v>9260558.2024586797</v>
      </c>
      <c r="I95" s="58"/>
      <c r="J95" s="58">
        <f t="shared" si="23"/>
        <v>0</v>
      </c>
      <c r="K95" s="58">
        <f t="shared" si="24"/>
        <v>0</v>
      </c>
      <c r="L95" s="59">
        <f t="shared" si="16"/>
        <v>9260558.2024586797</v>
      </c>
      <c r="M95" s="13">
        <f t="shared" si="17"/>
        <v>154402682.19516498</v>
      </c>
      <c r="N95" s="13">
        <f t="shared" si="25"/>
        <v>55563349214.752068</v>
      </c>
      <c r="O95" s="72">
        <f t="shared" si="18"/>
        <v>200723486.85371399</v>
      </c>
      <c r="P95" s="13">
        <v>166666.66666666666</v>
      </c>
      <c r="Q95" s="72">
        <f t="shared" si="19"/>
        <v>9093891.5357920136</v>
      </c>
      <c r="R95" s="13">
        <f>VLOOKUP(A95,'IDI 18MARZO'!B:D,3,0)</f>
        <v>359.86</v>
      </c>
      <c r="S95" s="72">
        <f t="shared" si="20"/>
        <v>1.3000000000000114</v>
      </c>
    </row>
    <row r="96" spans="1:19" x14ac:dyDescent="0.25">
      <c r="A96" s="88">
        <v>43868</v>
      </c>
      <c r="B96" s="84">
        <v>10</v>
      </c>
      <c r="C96" s="73">
        <f t="shared" si="8"/>
        <v>1.6666666666666666E-2</v>
      </c>
      <c r="D96" s="13">
        <f t="shared" si="14"/>
        <v>359.89</v>
      </c>
      <c r="E96" s="45">
        <f t="shared" si="21"/>
        <v>25733.780365860832</v>
      </c>
      <c r="F96" s="82"/>
      <c r="G96" s="47">
        <f t="shared" si="15"/>
        <v>25733.780365860832</v>
      </c>
      <c r="H96" s="57">
        <f t="shared" si="22"/>
        <v>9261330.215869654</v>
      </c>
      <c r="I96" s="58"/>
      <c r="J96" s="58">
        <f t="shared" si="23"/>
        <v>0</v>
      </c>
      <c r="K96" s="58">
        <f t="shared" si="24"/>
        <v>0</v>
      </c>
      <c r="L96" s="59">
        <f t="shared" si="16"/>
        <v>9261330.215869654</v>
      </c>
      <c r="M96" s="13">
        <f t="shared" si="17"/>
        <v>154402682.19516498</v>
      </c>
      <c r="N96" s="13">
        <f t="shared" si="25"/>
        <v>55567981295.217918</v>
      </c>
      <c r="O96" s="72">
        <f t="shared" si="18"/>
        <v>4632080.4658508301</v>
      </c>
      <c r="P96" s="13">
        <v>166666.66666666666</v>
      </c>
      <c r="Q96" s="72">
        <f t="shared" si="19"/>
        <v>9094663.5492029879</v>
      </c>
      <c r="R96" s="13">
        <f>VLOOKUP(A96,'IDI 18MARZO'!B:D,3,0)</f>
        <v>359.89</v>
      </c>
      <c r="S96" s="72">
        <f t="shared" si="20"/>
        <v>2.9999999999972715E-2</v>
      </c>
    </row>
    <row r="97" spans="1:19" x14ac:dyDescent="0.25">
      <c r="A97" s="88">
        <v>43869</v>
      </c>
      <c r="B97" s="84">
        <v>10</v>
      </c>
      <c r="C97" s="73">
        <f t="shared" si="8"/>
        <v>1.6666666666666666E-2</v>
      </c>
      <c r="D97" s="13">
        <f t="shared" si="14"/>
        <v>359.89</v>
      </c>
      <c r="E97" s="45">
        <f t="shared" si="21"/>
        <v>25733.780365860832</v>
      </c>
      <c r="F97" s="82"/>
      <c r="G97" s="47">
        <f t="shared" si="15"/>
        <v>25733.780365860832</v>
      </c>
      <c r="H97" s="57">
        <f t="shared" si="22"/>
        <v>9261330.215869654</v>
      </c>
      <c r="I97" s="58"/>
      <c r="J97" s="58">
        <f t="shared" si="23"/>
        <v>0</v>
      </c>
      <c r="K97" s="58">
        <f t="shared" si="24"/>
        <v>0</v>
      </c>
      <c r="L97" s="59">
        <f t="shared" si="16"/>
        <v>9261330.215869654</v>
      </c>
      <c r="M97" s="13">
        <f t="shared" si="17"/>
        <v>154402682.19516498</v>
      </c>
      <c r="N97" s="13">
        <f t="shared" si="25"/>
        <v>55567981295.217918</v>
      </c>
      <c r="O97" s="72">
        <f t="shared" si="18"/>
        <v>0</v>
      </c>
      <c r="P97" s="13">
        <v>166666.66666666666</v>
      </c>
      <c r="Q97" s="72">
        <f t="shared" si="19"/>
        <v>9094663.5492029879</v>
      </c>
      <c r="R97" s="13">
        <f>VLOOKUP(A97,'IDI 18MARZO'!B:D,3,0)</f>
        <v>359.89</v>
      </c>
      <c r="S97" s="72">
        <f t="shared" si="20"/>
        <v>0</v>
      </c>
    </row>
    <row r="98" spans="1:19" x14ac:dyDescent="0.25">
      <c r="A98" s="88">
        <v>43870</v>
      </c>
      <c r="B98" s="84">
        <v>10</v>
      </c>
      <c r="C98" s="73">
        <f t="shared" si="8"/>
        <v>1.6666666666666666E-2</v>
      </c>
      <c r="D98" s="13">
        <f t="shared" si="14"/>
        <v>359.89</v>
      </c>
      <c r="E98" s="45">
        <f t="shared" si="21"/>
        <v>25733.780365860832</v>
      </c>
      <c r="F98" s="82"/>
      <c r="G98" s="47">
        <f t="shared" si="15"/>
        <v>25733.780365860832</v>
      </c>
      <c r="H98" s="57">
        <f t="shared" si="22"/>
        <v>9261330.215869654</v>
      </c>
      <c r="I98" s="58"/>
      <c r="J98" s="58">
        <f t="shared" si="23"/>
        <v>0</v>
      </c>
      <c r="K98" s="58">
        <f t="shared" si="24"/>
        <v>0</v>
      </c>
      <c r="L98" s="59">
        <f t="shared" si="16"/>
        <v>9261330.215869654</v>
      </c>
      <c r="M98" s="13">
        <f t="shared" si="17"/>
        <v>154402682.19516498</v>
      </c>
      <c r="N98" s="13">
        <f t="shared" si="25"/>
        <v>55567981295.217918</v>
      </c>
      <c r="O98" s="72">
        <f t="shared" si="18"/>
        <v>0</v>
      </c>
      <c r="P98" s="13">
        <v>166666.66666666666</v>
      </c>
      <c r="Q98" s="72">
        <f t="shared" si="19"/>
        <v>9094663.5492029879</v>
      </c>
      <c r="R98" s="13">
        <f>VLOOKUP(A98,'IDI 18MARZO'!B:D,3,0)</f>
        <v>359.89</v>
      </c>
      <c r="S98" s="72">
        <f t="shared" si="20"/>
        <v>0</v>
      </c>
    </row>
    <row r="99" spans="1:19" x14ac:dyDescent="0.25">
      <c r="A99" s="88">
        <v>43871</v>
      </c>
      <c r="B99" s="84">
        <v>10</v>
      </c>
      <c r="C99" s="73">
        <f t="shared" si="8"/>
        <v>1.6666666666666666E-2</v>
      </c>
      <c r="D99" s="13">
        <f t="shared" si="14"/>
        <v>359</v>
      </c>
      <c r="E99" s="45">
        <f t="shared" si="21"/>
        <v>25733.780365860832</v>
      </c>
      <c r="F99" s="82"/>
      <c r="G99" s="47">
        <f t="shared" si="15"/>
        <v>25733.780365860832</v>
      </c>
      <c r="H99" s="57">
        <f t="shared" si="22"/>
        <v>9238427.1513440385</v>
      </c>
      <c r="I99" s="58"/>
      <c r="J99" s="58">
        <f t="shared" si="23"/>
        <v>0</v>
      </c>
      <c r="K99" s="58">
        <f t="shared" si="24"/>
        <v>0</v>
      </c>
      <c r="L99" s="59">
        <f t="shared" si="16"/>
        <v>9238427.1513440385</v>
      </c>
      <c r="M99" s="13">
        <f t="shared" si="17"/>
        <v>154402682.19516498</v>
      </c>
      <c r="N99" s="13">
        <f t="shared" si="25"/>
        <v>55430562908.064224</v>
      </c>
      <c r="O99" s="72">
        <f t="shared" si="18"/>
        <v>-137418387.15369415</v>
      </c>
      <c r="P99" s="13">
        <v>166666.66666666666</v>
      </c>
      <c r="Q99" s="72">
        <f t="shared" si="19"/>
        <v>9071760.4846773725</v>
      </c>
      <c r="R99" s="13">
        <f>VLOOKUP(A99,'IDI 18MARZO'!B:D,3,0)</f>
        <v>359</v>
      </c>
      <c r="S99" s="72">
        <f t="shared" si="20"/>
        <v>-0.88999999999998636</v>
      </c>
    </row>
    <row r="100" spans="1:19" x14ac:dyDescent="0.25">
      <c r="A100" s="88">
        <v>43872</v>
      </c>
      <c r="B100" s="84">
        <v>10</v>
      </c>
      <c r="C100" s="73">
        <f t="shared" si="8"/>
        <v>1.6666666666666666E-2</v>
      </c>
      <c r="D100" s="13">
        <f t="shared" si="14"/>
        <v>357.13</v>
      </c>
      <c r="E100" s="45">
        <f t="shared" si="21"/>
        <v>25733.780365860832</v>
      </c>
      <c r="F100" s="82"/>
      <c r="G100" s="47">
        <f t="shared" si="15"/>
        <v>25733.780365860832</v>
      </c>
      <c r="H100" s="57">
        <f t="shared" si="22"/>
        <v>9190304.9820598792</v>
      </c>
      <c r="I100" s="58"/>
      <c r="J100" s="58">
        <f t="shared" si="23"/>
        <v>0</v>
      </c>
      <c r="K100" s="58">
        <f t="shared" si="24"/>
        <v>0</v>
      </c>
      <c r="L100" s="59">
        <f t="shared" si="16"/>
        <v>9190304.9820598792</v>
      </c>
      <c r="M100" s="13">
        <f t="shared" si="17"/>
        <v>154402682.19516498</v>
      </c>
      <c r="N100" s="13">
        <f t="shared" si="25"/>
        <v>55141829892.359268</v>
      </c>
      <c r="O100" s="72">
        <f t="shared" si="18"/>
        <v>-288733015.70495605</v>
      </c>
      <c r="P100" s="13">
        <v>166666.66666666666</v>
      </c>
      <c r="Q100" s="72">
        <f t="shared" si="19"/>
        <v>9023638.3153932132</v>
      </c>
      <c r="R100" s="13">
        <f>VLOOKUP(A100,'IDI 18MARZO'!B:D,3,0)</f>
        <v>357.13</v>
      </c>
      <c r="S100" s="72">
        <f t="shared" si="20"/>
        <v>-1.8700000000000045</v>
      </c>
    </row>
    <row r="101" spans="1:19" x14ac:dyDescent="0.25">
      <c r="A101" s="88">
        <v>43873</v>
      </c>
      <c r="B101" s="84">
        <v>10</v>
      </c>
      <c r="C101" s="73">
        <f t="shared" si="8"/>
        <v>1.6666666666666666E-2</v>
      </c>
      <c r="D101" s="13">
        <f t="shared" si="14"/>
        <v>357.74</v>
      </c>
      <c r="E101" s="45">
        <f t="shared" si="21"/>
        <v>25733.780365860832</v>
      </c>
      <c r="F101" s="82"/>
      <c r="G101" s="47">
        <f t="shared" si="15"/>
        <v>25733.780365860832</v>
      </c>
      <c r="H101" s="57">
        <f t="shared" si="22"/>
        <v>9206002.5880830549</v>
      </c>
      <c r="I101" s="58"/>
      <c r="J101" s="58">
        <f t="shared" si="23"/>
        <v>0</v>
      </c>
      <c r="K101" s="58">
        <f t="shared" si="24"/>
        <v>0</v>
      </c>
      <c r="L101" s="59">
        <f t="shared" si="16"/>
        <v>9206002.5880830549</v>
      </c>
      <c r="M101" s="13">
        <f t="shared" si="17"/>
        <v>154402682.19516498</v>
      </c>
      <c r="N101" s="13">
        <f t="shared" si="25"/>
        <v>55236015528.498322</v>
      </c>
      <c r="O101" s="72">
        <f t="shared" si="18"/>
        <v>94185636.139053345</v>
      </c>
      <c r="P101" s="13">
        <v>166666.66666666666</v>
      </c>
      <c r="Q101" s="72">
        <f t="shared" si="19"/>
        <v>9039335.9214163888</v>
      </c>
      <c r="R101" s="13">
        <f>VLOOKUP(A101,'IDI 18MARZO'!B:D,3,0)</f>
        <v>357.74</v>
      </c>
      <c r="S101" s="72">
        <f t="shared" si="20"/>
        <v>0.61000000000001364</v>
      </c>
    </row>
    <row r="102" spans="1:19" x14ac:dyDescent="0.25">
      <c r="A102" s="88">
        <v>43874</v>
      </c>
      <c r="B102" s="84">
        <v>10</v>
      </c>
      <c r="C102" s="73">
        <f t="shared" si="8"/>
        <v>1.6666666666666666E-2</v>
      </c>
      <c r="D102" s="13">
        <f t="shared" si="14"/>
        <v>359.27</v>
      </c>
      <c r="E102" s="45">
        <f t="shared" si="21"/>
        <v>25733.780365860832</v>
      </c>
      <c r="F102" s="82"/>
      <c r="G102" s="47">
        <f t="shared" si="15"/>
        <v>25733.780365860832</v>
      </c>
      <c r="H102" s="57">
        <f t="shared" si="22"/>
        <v>9245375.2720428202</v>
      </c>
      <c r="I102" s="58"/>
      <c r="J102" s="58">
        <f t="shared" si="23"/>
        <v>0</v>
      </c>
      <c r="K102" s="58">
        <f t="shared" si="24"/>
        <v>0</v>
      </c>
      <c r="L102" s="59">
        <f t="shared" si="16"/>
        <v>9245375.2720428202</v>
      </c>
      <c r="M102" s="13">
        <f t="shared" si="17"/>
        <v>154402682.19516498</v>
      </c>
      <c r="N102" s="13">
        <f t="shared" si="25"/>
        <v>55472251632.25692</v>
      </c>
      <c r="O102" s="72">
        <f t="shared" si="18"/>
        <v>236236103.75859833</v>
      </c>
      <c r="P102" s="13">
        <v>166666.66666666666</v>
      </c>
      <c r="Q102" s="72">
        <f t="shared" si="19"/>
        <v>9078708.6053761542</v>
      </c>
      <c r="R102" s="13">
        <f>VLOOKUP(A102,'IDI 18MARZO'!B:D,3,0)</f>
        <v>359.27</v>
      </c>
      <c r="S102" s="72">
        <f t="shared" si="20"/>
        <v>1.5299999999999727</v>
      </c>
    </row>
    <row r="103" spans="1:19" x14ac:dyDescent="0.25">
      <c r="A103" s="88">
        <v>43875</v>
      </c>
      <c r="B103" s="84">
        <v>10</v>
      </c>
      <c r="C103" s="73">
        <f t="shared" si="8"/>
        <v>1.6666666666666666E-2</v>
      </c>
      <c r="D103" s="13">
        <f t="shared" si="14"/>
        <v>359.74</v>
      </c>
      <c r="E103" s="45">
        <f t="shared" si="21"/>
        <v>25733.780365860832</v>
      </c>
      <c r="F103" s="82"/>
      <c r="G103" s="47">
        <f t="shared" si="15"/>
        <v>25733.780365860832</v>
      </c>
      <c r="H103" s="57">
        <f t="shared" si="22"/>
        <v>9257470.148814775</v>
      </c>
      <c r="I103" s="58"/>
      <c r="J103" s="58">
        <f t="shared" si="23"/>
        <v>0</v>
      </c>
      <c r="K103" s="58">
        <f t="shared" si="24"/>
        <v>0</v>
      </c>
      <c r="L103" s="59">
        <f t="shared" si="16"/>
        <v>9257470.148814775</v>
      </c>
      <c r="M103" s="13">
        <f t="shared" si="17"/>
        <v>154402682.19516498</v>
      </c>
      <c r="N103" s="13">
        <f t="shared" si="25"/>
        <v>55544820892.888649</v>
      </c>
      <c r="O103" s="72">
        <f t="shared" si="18"/>
        <v>72569260.631729126</v>
      </c>
      <c r="P103" s="13">
        <v>166666.66666666666</v>
      </c>
      <c r="Q103" s="72">
        <f t="shared" si="19"/>
        <v>9090803.482148109</v>
      </c>
      <c r="R103" s="13">
        <f>VLOOKUP(A103,'IDI 18MARZO'!B:D,3,0)</f>
        <v>359.74</v>
      </c>
      <c r="S103" s="72">
        <f t="shared" si="20"/>
        <v>0.47000000000002728</v>
      </c>
    </row>
    <row r="104" spans="1:19" x14ac:dyDescent="0.25">
      <c r="A104" s="88">
        <v>43876</v>
      </c>
      <c r="B104" s="84">
        <v>10</v>
      </c>
      <c r="C104" s="73">
        <f t="shared" si="8"/>
        <v>1.6666666666666666E-2</v>
      </c>
      <c r="D104" s="13">
        <f t="shared" si="14"/>
        <v>359.74</v>
      </c>
      <c r="E104" s="45">
        <f t="shared" si="21"/>
        <v>25733.780365860832</v>
      </c>
      <c r="F104" s="82"/>
      <c r="G104" s="47">
        <f t="shared" si="15"/>
        <v>25733.780365860832</v>
      </c>
      <c r="H104" s="57">
        <f t="shared" si="22"/>
        <v>9257470.148814775</v>
      </c>
      <c r="I104" s="58"/>
      <c r="J104" s="58">
        <f t="shared" si="23"/>
        <v>0</v>
      </c>
      <c r="K104" s="58">
        <f t="shared" si="24"/>
        <v>0</v>
      </c>
      <c r="L104" s="59">
        <f t="shared" si="16"/>
        <v>9257470.148814775</v>
      </c>
      <c r="M104" s="13">
        <f t="shared" si="17"/>
        <v>154402682.19516498</v>
      </c>
      <c r="N104" s="13">
        <f t="shared" si="25"/>
        <v>55544820892.888649</v>
      </c>
      <c r="O104" s="72">
        <f t="shared" si="18"/>
        <v>0</v>
      </c>
      <c r="P104" s="13">
        <v>166666.66666666666</v>
      </c>
      <c r="Q104" s="72">
        <f t="shared" si="19"/>
        <v>9090803.482148109</v>
      </c>
      <c r="R104" s="13">
        <f>VLOOKUP(A104,'IDI 18MARZO'!B:D,3,0)</f>
        <v>359.74</v>
      </c>
      <c r="S104" s="72">
        <f t="shared" si="20"/>
        <v>0</v>
      </c>
    </row>
    <row r="105" spans="1:19" x14ac:dyDescent="0.25">
      <c r="A105" s="88">
        <v>43877</v>
      </c>
      <c r="B105" s="84">
        <v>10</v>
      </c>
      <c r="C105" s="73">
        <f t="shared" si="8"/>
        <v>1.6666666666666666E-2</v>
      </c>
      <c r="D105" s="13">
        <f t="shared" si="14"/>
        <v>359.74</v>
      </c>
      <c r="E105" s="45">
        <f t="shared" si="21"/>
        <v>25733.780365860832</v>
      </c>
      <c r="F105" s="82"/>
      <c r="G105" s="47">
        <f t="shared" si="15"/>
        <v>25733.780365860832</v>
      </c>
      <c r="H105" s="57">
        <f t="shared" si="22"/>
        <v>9257470.148814775</v>
      </c>
      <c r="I105" s="58"/>
      <c r="J105" s="58">
        <f t="shared" si="23"/>
        <v>0</v>
      </c>
      <c r="K105" s="58">
        <f t="shared" si="24"/>
        <v>0</v>
      </c>
      <c r="L105" s="59">
        <f t="shared" si="16"/>
        <v>9257470.148814775</v>
      </c>
      <c r="M105" s="13">
        <f t="shared" si="17"/>
        <v>154402682.19516498</v>
      </c>
      <c r="N105" s="13">
        <f t="shared" si="25"/>
        <v>55544820892.888649</v>
      </c>
      <c r="O105" s="72">
        <f t="shared" si="18"/>
        <v>0</v>
      </c>
      <c r="P105" s="13">
        <v>166666.66666666666</v>
      </c>
      <c r="Q105" s="72">
        <f t="shared" si="19"/>
        <v>9090803.482148109</v>
      </c>
      <c r="R105" s="13">
        <f>VLOOKUP(A105,'IDI 18MARZO'!B:D,3,0)</f>
        <v>359.74</v>
      </c>
      <c r="S105" s="72">
        <f t="shared" si="20"/>
        <v>0</v>
      </c>
    </row>
    <row r="106" spans="1:19" x14ac:dyDescent="0.25">
      <c r="A106" s="88">
        <v>43878</v>
      </c>
      <c r="B106" s="84">
        <v>10</v>
      </c>
      <c r="C106" s="73">
        <f t="shared" si="8"/>
        <v>1.6666666666666666E-2</v>
      </c>
      <c r="D106" s="13">
        <f t="shared" si="14"/>
        <v>358.82</v>
      </c>
      <c r="E106" s="45">
        <f t="shared" si="21"/>
        <v>25733.780365860832</v>
      </c>
      <c r="F106" s="82"/>
      <c r="G106" s="47">
        <f t="shared" si="15"/>
        <v>25733.780365860832</v>
      </c>
      <c r="H106" s="57">
        <f t="shared" si="22"/>
        <v>9233795.0708781835</v>
      </c>
      <c r="I106" s="58"/>
      <c r="J106" s="58">
        <f t="shared" si="23"/>
        <v>0</v>
      </c>
      <c r="K106" s="58">
        <f t="shared" si="24"/>
        <v>0</v>
      </c>
      <c r="L106" s="59">
        <f t="shared" si="16"/>
        <v>9233795.0708781835</v>
      </c>
      <c r="M106" s="13">
        <f t="shared" si="17"/>
        <v>154402682.19516498</v>
      </c>
      <c r="N106" s="13">
        <f t="shared" si="25"/>
        <v>55402770425.269096</v>
      </c>
      <c r="O106" s="72">
        <f t="shared" si="18"/>
        <v>-142050467.61955261</v>
      </c>
      <c r="P106" s="13">
        <v>166666.66666666666</v>
      </c>
      <c r="Q106" s="72">
        <f t="shared" si="19"/>
        <v>9067128.4042115174</v>
      </c>
      <c r="R106" s="13">
        <f>VLOOKUP(A106,'IDI 18MARZO'!B:D,3,0)</f>
        <v>358.82</v>
      </c>
      <c r="S106" s="72">
        <f t="shared" si="20"/>
        <v>-0.92000000000001592</v>
      </c>
    </row>
    <row r="107" spans="1:19" x14ac:dyDescent="0.25">
      <c r="A107" s="88">
        <v>43879</v>
      </c>
      <c r="B107" s="84">
        <v>10</v>
      </c>
      <c r="C107" s="73">
        <f t="shared" si="8"/>
        <v>1.6666666666666666E-2</v>
      </c>
      <c r="D107" s="13">
        <f t="shared" si="14"/>
        <v>359.2</v>
      </c>
      <c r="E107" s="45">
        <f t="shared" si="21"/>
        <v>25733.780365860832</v>
      </c>
      <c r="F107" s="82"/>
      <c r="G107" s="47">
        <f t="shared" si="15"/>
        <v>25733.780365860832</v>
      </c>
      <c r="H107" s="57">
        <f t="shared" si="22"/>
        <v>9243573.9074172098</v>
      </c>
      <c r="I107" s="58"/>
      <c r="J107" s="58">
        <f t="shared" si="23"/>
        <v>0</v>
      </c>
      <c r="K107" s="58">
        <f t="shared" si="24"/>
        <v>0</v>
      </c>
      <c r="L107" s="59">
        <f t="shared" si="16"/>
        <v>9243573.9074172098</v>
      </c>
      <c r="M107" s="13">
        <f t="shared" si="17"/>
        <v>154402682.19516498</v>
      </c>
      <c r="N107" s="13">
        <f t="shared" si="25"/>
        <v>55461443444.503258</v>
      </c>
      <c r="O107" s="72">
        <f t="shared" si="18"/>
        <v>58673019.234161377</v>
      </c>
      <c r="P107" s="13">
        <v>166666.66666666666</v>
      </c>
      <c r="Q107" s="72">
        <f t="shared" si="19"/>
        <v>9076907.2407505438</v>
      </c>
      <c r="R107" s="13">
        <f>VLOOKUP(A107,'IDI 18MARZO'!B:D,3,0)</f>
        <v>359.2</v>
      </c>
      <c r="S107" s="72">
        <f t="shared" si="20"/>
        <v>0.37999999999999545</v>
      </c>
    </row>
    <row r="108" spans="1:19" x14ac:dyDescent="0.25">
      <c r="A108" s="88">
        <v>43880</v>
      </c>
      <c r="B108" s="84">
        <v>10</v>
      </c>
      <c r="C108" s="73">
        <f t="shared" si="8"/>
        <v>1.6666666666666666E-2</v>
      </c>
      <c r="D108" s="13">
        <f t="shared" si="14"/>
        <v>360.67</v>
      </c>
      <c r="E108" s="45">
        <f t="shared" si="21"/>
        <v>25733.780365860832</v>
      </c>
      <c r="F108" s="82"/>
      <c r="G108" s="47">
        <f t="shared" si="15"/>
        <v>25733.780365860832</v>
      </c>
      <c r="H108" s="57">
        <f t="shared" si="22"/>
        <v>9281402.5645550266</v>
      </c>
      <c r="I108" s="58"/>
      <c r="J108" s="58">
        <f t="shared" si="23"/>
        <v>0</v>
      </c>
      <c r="K108" s="58">
        <f t="shared" si="24"/>
        <v>0</v>
      </c>
      <c r="L108" s="59">
        <f t="shared" si="16"/>
        <v>9281402.5645550266</v>
      </c>
      <c r="M108" s="13">
        <f t="shared" si="17"/>
        <v>154402682.19516498</v>
      </c>
      <c r="N108" s="13">
        <f t="shared" si="25"/>
        <v>55688415387.330154</v>
      </c>
      <c r="O108" s="72">
        <f t="shared" si="18"/>
        <v>226971942.82689667</v>
      </c>
      <c r="P108" s="13">
        <v>166666.66666666666</v>
      </c>
      <c r="Q108" s="72">
        <f t="shared" si="19"/>
        <v>9114735.8978883605</v>
      </c>
      <c r="R108" s="13">
        <f>VLOOKUP(A108,'IDI 18MARZO'!B:D,3,0)</f>
        <v>360.67</v>
      </c>
      <c r="S108" s="72">
        <f t="shared" si="20"/>
        <v>1.4700000000000273</v>
      </c>
    </row>
    <row r="109" spans="1:19" x14ac:dyDescent="0.25">
      <c r="A109" s="88">
        <v>43881</v>
      </c>
      <c r="B109" s="84">
        <v>10</v>
      </c>
      <c r="C109" s="73">
        <f t="shared" si="8"/>
        <v>1.6666666666666666E-2</v>
      </c>
      <c r="D109" s="13">
        <f t="shared" si="14"/>
        <v>360.61</v>
      </c>
      <c r="E109" s="45">
        <f t="shared" ref="E109:E133" si="26">+M108*C109/100</f>
        <v>25733.780365860832</v>
      </c>
      <c r="F109" s="82"/>
      <c r="G109" s="47">
        <f t="shared" si="15"/>
        <v>25733.780365860832</v>
      </c>
      <c r="H109" s="57">
        <f t="shared" ref="H109:H133" si="27">+E109*D109</f>
        <v>9279858.5377330743</v>
      </c>
      <c r="I109" s="58"/>
      <c r="J109" s="58">
        <f t="shared" ref="J109:J132" si="28">+F109*D109-I109</f>
        <v>0</v>
      </c>
      <c r="K109" s="58">
        <f t="shared" ref="K109:K132" si="29">+F109*D109</f>
        <v>0</v>
      </c>
      <c r="L109" s="59">
        <f t="shared" si="16"/>
        <v>9279858.5377330743</v>
      </c>
      <c r="M109" s="13">
        <f t="shared" si="17"/>
        <v>154402682.19516498</v>
      </c>
      <c r="N109" s="13">
        <f t="shared" ref="N109:N133" si="30">+M109*D109</f>
        <v>55679151226.398445</v>
      </c>
      <c r="O109" s="72">
        <f t="shared" si="18"/>
        <v>-9264160.9317092896</v>
      </c>
      <c r="P109" s="13">
        <v>166666.66666666666</v>
      </c>
      <c r="Q109" s="72">
        <f t="shared" si="19"/>
        <v>9113191.8710664082</v>
      </c>
      <c r="R109" s="13">
        <f>VLOOKUP(A109,'IDI 18MARZO'!B:D,3,0)</f>
        <v>360.61</v>
      </c>
      <c r="S109" s="72">
        <f t="shared" si="20"/>
        <v>-6.0000000000002274E-2</v>
      </c>
    </row>
    <row r="110" spans="1:19" x14ac:dyDescent="0.25">
      <c r="A110" s="88">
        <v>43882</v>
      </c>
      <c r="B110" s="84">
        <v>10</v>
      </c>
      <c r="C110" s="73">
        <f t="shared" ref="C110:C133" si="31">+C109</f>
        <v>1.6666666666666666E-2</v>
      </c>
      <c r="D110" s="13">
        <f t="shared" si="14"/>
        <v>360.74</v>
      </c>
      <c r="E110" s="45">
        <f t="shared" si="26"/>
        <v>25733.780365860832</v>
      </c>
      <c r="F110" s="82"/>
      <c r="G110" s="47">
        <f t="shared" si="15"/>
        <v>25733.780365860832</v>
      </c>
      <c r="H110" s="57">
        <f t="shared" si="27"/>
        <v>9283203.929180637</v>
      </c>
      <c r="I110" s="58"/>
      <c r="J110" s="58">
        <f t="shared" si="28"/>
        <v>0</v>
      </c>
      <c r="K110" s="58">
        <f t="shared" si="29"/>
        <v>0</v>
      </c>
      <c r="L110" s="59">
        <f t="shared" si="16"/>
        <v>9283203.929180637</v>
      </c>
      <c r="M110" s="13">
        <f t="shared" si="17"/>
        <v>154402682.19516498</v>
      </c>
      <c r="N110" s="13">
        <f t="shared" si="30"/>
        <v>55699223575.083817</v>
      </c>
      <c r="O110" s="72">
        <f t="shared" si="18"/>
        <v>20072348.685371399</v>
      </c>
      <c r="P110" s="13">
        <v>166666.66666666666</v>
      </c>
      <c r="Q110" s="72">
        <f t="shared" si="19"/>
        <v>9116537.262513971</v>
      </c>
      <c r="R110" s="13">
        <f>VLOOKUP(A110,'IDI 18MARZO'!B:D,3,0)</f>
        <v>360.74</v>
      </c>
      <c r="S110" s="72">
        <f t="shared" si="20"/>
        <v>0.12999999999999545</v>
      </c>
    </row>
    <row r="111" spans="1:19" x14ac:dyDescent="0.25">
      <c r="A111" s="88">
        <v>43883</v>
      </c>
      <c r="B111" s="84">
        <v>10</v>
      </c>
      <c r="C111" s="73">
        <f t="shared" si="31"/>
        <v>1.6666666666666666E-2</v>
      </c>
      <c r="D111" s="13">
        <f t="shared" si="14"/>
        <v>360.74</v>
      </c>
      <c r="E111" s="45">
        <f t="shared" si="26"/>
        <v>25733.780365860832</v>
      </c>
      <c r="F111" s="82"/>
      <c r="G111" s="47">
        <f t="shared" si="15"/>
        <v>25733.780365860832</v>
      </c>
      <c r="H111" s="57">
        <f t="shared" si="27"/>
        <v>9283203.929180637</v>
      </c>
      <c r="I111" s="58"/>
      <c r="J111" s="58">
        <f t="shared" si="28"/>
        <v>0</v>
      </c>
      <c r="K111" s="58">
        <f t="shared" si="29"/>
        <v>0</v>
      </c>
      <c r="L111" s="59">
        <f t="shared" si="16"/>
        <v>9283203.929180637</v>
      </c>
      <c r="M111" s="13">
        <f t="shared" si="17"/>
        <v>154402682.19516498</v>
      </c>
      <c r="N111" s="13">
        <f t="shared" si="30"/>
        <v>55699223575.083817</v>
      </c>
      <c r="O111" s="72">
        <f t="shared" si="18"/>
        <v>0</v>
      </c>
      <c r="P111" s="13">
        <v>166666.66666666666</v>
      </c>
      <c r="Q111" s="72">
        <f t="shared" si="19"/>
        <v>9116537.262513971</v>
      </c>
      <c r="R111" s="13">
        <f>VLOOKUP(A111,'IDI 18MARZO'!B:D,3,0)</f>
        <v>360.74</v>
      </c>
      <c r="S111" s="72">
        <f t="shared" si="20"/>
        <v>0</v>
      </c>
    </row>
    <row r="112" spans="1:19" x14ac:dyDescent="0.25">
      <c r="A112" s="88">
        <v>43884</v>
      </c>
      <c r="B112" s="84">
        <v>10</v>
      </c>
      <c r="C112" s="73">
        <f t="shared" si="31"/>
        <v>1.6666666666666666E-2</v>
      </c>
      <c r="D112" s="13">
        <f t="shared" si="14"/>
        <v>360.74</v>
      </c>
      <c r="E112" s="45">
        <f t="shared" si="26"/>
        <v>25733.780365860832</v>
      </c>
      <c r="F112" s="82"/>
      <c r="G112" s="47">
        <f t="shared" si="15"/>
        <v>25733.780365860832</v>
      </c>
      <c r="H112" s="57">
        <f t="shared" si="27"/>
        <v>9283203.929180637</v>
      </c>
      <c r="I112" s="58"/>
      <c r="J112" s="58">
        <f t="shared" si="28"/>
        <v>0</v>
      </c>
      <c r="K112" s="58">
        <f t="shared" si="29"/>
        <v>0</v>
      </c>
      <c r="L112" s="59">
        <f t="shared" si="16"/>
        <v>9283203.929180637</v>
      </c>
      <c r="M112" s="13">
        <f t="shared" si="17"/>
        <v>154402682.19516498</v>
      </c>
      <c r="N112" s="13">
        <f t="shared" si="30"/>
        <v>55699223575.083817</v>
      </c>
      <c r="O112" s="72">
        <f t="shared" si="18"/>
        <v>0</v>
      </c>
      <c r="P112" s="13">
        <v>166666.66666666666</v>
      </c>
      <c r="Q112" s="72">
        <f t="shared" si="19"/>
        <v>9116537.262513971</v>
      </c>
      <c r="R112" s="13">
        <f>VLOOKUP(A112,'IDI 18MARZO'!B:D,3,0)</f>
        <v>360.74</v>
      </c>
      <c r="S112" s="72">
        <f t="shared" si="20"/>
        <v>0</v>
      </c>
    </row>
    <row r="113" spans="1:19" x14ac:dyDescent="0.25">
      <c r="A113" s="88">
        <v>43885</v>
      </c>
      <c r="B113" s="84">
        <v>10</v>
      </c>
      <c r="C113" s="73">
        <f t="shared" si="31"/>
        <v>1.6666666666666666E-2</v>
      </c>
      <c r="D113" s="13">
        <f t="shared" si="14"/>
        <v>360.74</v>
      </c>
      <c r="E113" s="45">
        <f t="shared" si="26"/>
        <v>25733.780365860832</v>
      </c>
      <c r="F113" s="82"/>
      <c r="G113" s="47">
        <f t="shared" si="15"/>
        <v>25733.780365860832</v>
      </c>
      <c r="H113" s="57">
        <f t="shared" si="27"/>
        <v>9283203.929180637</v>
      </c>
      <c r="I113" s="58"/>
      <c r="J113" s="58">
        <f t="shared" si="28"/>
        <v>0</v>
      </c>
      <c r="K113" s="58">
        <f t="shared" si="29"/>
        <v>0</v>
      </c>
      <c r="L113" s="59">
        <f t="shared" si="16"/>
        <v>9283203.929180637</v>
      </c>
      <c r="M113" s="13">
        <f t="shared" si="17"/>
        <v>154402682.19516498</v>
      </c>
      <c r="N113" s="13">
        <f t="shared" si="30"/>
        <v>55699223575.083817</v>
      </c>
      <c r="O113" s="72">
        <f t="shared" si="18"/>
        <v>0</v>
      </c>
      <c r="P113" s="13">
        <v>166666.66666666666</v>
      </c>
      <c r="Q113" s="72">
        <f t="shared" si="19"/>
        <v>9116537.262513971</v>
      </c>
      <c r="R113" s="13">
        <f>VLOOKUP(A113,'IDI 18MARZO'!B:D,3,0)</f>
        <v>360.74</v>
      </c>
      <c r="S113" s="72">
        <f t="shared" si="20"/>
        <v>0</v>
      </c>
    </row>
    <row r="114" spans="1:19" x14ac:dyDescent="0.25">
      <c r="A114" s="88">
        <v>43886</v>
      </c>
      <c r="B114" s="84">
        <v>10</v>
      </c>
      <c r="C114" s="73">
        <f t="shared" si="31"/>
        <v>1.6666666666666666E-2</v>
      </c>
      <c r="D114" s="13">
        <f t="shared" si="14"/>
        <v>360.74</v>
      </c>
      <c r="E114" s="45">
        <f t="shared" si="26"/>
        <v>25733.780365860832</v>
      </c>
      <c r="F114" s="82"/>
      <c r="G114" s="47">
        <f t="shared" si="15"/>
        <v>25733.780365860832</v>
      </c>
      <c r="H114" s="57">
        <f t="shared" si="27"/>
        <v>9283203.929180637</v>
      </c>
      <c r="I114" s="58"/>
      <c r="J114" s="58">
        <f t="shared" si="28"/>
        <v>0</v>
      </c>
      <c r="K114" s="58">
        <f t="shared" si="29"/>
        <v>0</v>
      </c>
      <c r="L114" s="59">
        <f t="shared" si="16"/>
        <v>9283203.929180637</v>
      </c>
      <c r="M114" s="13">
        <f t="shared" si="17"/>
        <v>154402682.19516498</v>
      </c>
      <c r="N114" s="13">
        <f t="shared" si="30"/>
        <v>55699223575.083817</v>
      </c>
      <c r="O114" s="72">
        <f t="shared" si="18"/>
        <v>0</v>
      </c>
      <c r="P114" s="13">
        <v>166666.66666666666</v>
      </c>
      <c r="Q114" s="72">
        <f t="shared" si="19"/>
        <v>9116537.262513971</v>
      </c>
      <c r="R114" s="13">
        <f>VLOOKUP(A114,'IDI 18MARZO'!B:D,3,0)</f>
        <v>360.74</v>
      </c>
      <c r="S114" s="72">
        <f t="shared" si="20"/>
        <v>0</v>
      </c>
    </row>
    <row r="115" spans="1:19" x14ac:dyDescent="0.25">
      <c r="A115" s="88">
        <v>43887</v>
      </c>
      <c r="B115" s="84">
        <v>10</v>
      </c>
      <c r="C115" s="73">
        <f t="shared" si="31"/>
        <v>1.6666666666666666E-2</v>
      </c>
      <c r="D115" s="13">
        <f t="shared" si="14"/>
        <v>358.61</v>
      </c>
      <c r="E115" s="45">
        <f t="shared" si="26"/>
        <v>25733.780365860832</v>
      </c>
      <c r="F115" s="82"/>
      <c r="G115" s="47">
        <f t="shared" si="15"/>
        <v>25733.780365860832</v>
      </c>
      <c r="H115" s="57">
        <f t="shared" si="27"/>
        <v>9228390.9770013541</v>
      </c>
      <c r="I115" s="58"/>
      <c r="J115" s="58">
        <f t="shared" si="28"/>
        <v>0</v>
      </c>
      <c r="K115" s="58">
        <f t="shared" si="29"/>
        <v>0</v>
      </c>
      <c r="L115" s="59">
        <f t="shared" si="16"/>
        <v>9228390.9770013541</v>
      </c>
      <c r="M115" s="13">
        <f t="shared" si="17"/>
        <v>154402682.19516498</v>
      </c>
      <c r="N115" s="13">
        <f t="shared" si="30"/>
        <v>55370345862.008118</v>
      </c>
      <c r="O115" s="72">
        <f t="shared" si="18"/>
        <v>-328877713.07569885</v>
      </c>
      <c r="P115" s="13">
        <v>166666.66666666666</v>
      </c>
      <c r="Q115" s="72">
        <f t="shared" si="19"/>
        <v>9061724.3103346881</v>
      </c>
      <c r="R115" s="13">
        <f>VLOOKUP(A115,'IDI 18MARZO'!B:D,3,0)</f>
        <v>358.61</v>
      </c>
      <c r="S115" s="72">
        <f t="shared" si="20"/>
        <v>-2.1299999999999955</v>
      </c>
    </row>
    <row r="116" spans="1:19" x14ac:dyDescent="0.25">
      <c r="A116" s="88">
        <v>43888</v>
      </c>
      <c r="B116" s="84">
        <v>10</v>
      </c>
      <c r="C116" s="73">
        <f t="shared" si="31"/>
        <v>1.6666666666666666E-2</v>
      </c>
      <c r="D116" s="13">
        <f t="shared" si="14"/>
        <v>359.84</v>
      </c>
      <c r="E116" s="45">
        <f t="shared" si="26"/>
        <v>25733.780365860832</v>
      </c>
      <c r="F116" s="82"/>
      <c r="G116" s="47">
        <f t="shared" si="15"/>
        <v>25733.780365860832</v>
      </c>
      <c r="H116" s="57">
        <f t="shared" si="27"/>
        <v>9260043.5268513616</v>
      </c>
      <c r="I116" s="58"/>
      <c r="J116" s="58">
        <f t="shared" si="28"/>
        <v>0</v>
      </c>
      <c r="K116" s="58">
        <f t="shared" si="29"/>
        <v>0</v>
      </c>
      <c r="L116" s="59">
        <f t="shared" si="16"/>
        <v>9260043.5268513616</v>
      </c>
      <c r="M116" s="13">
        <f t="shared" si="17"/>
        <v>154402682.19516498</v>
      </c>
      <c r="N116" s="13">
        <f t="shared" si="30"/>
        <v>55560261161.108162</v>
      </c>
      <c r="O116" s="72">
        <f t="shared" si="18"/>
        <v>189915299.10004425</v>
      </c>
      <c r="P116" s="13">
        <v>166666.66666666666</v>
      </c>
      <c r="Q116" s="72">
        <f t="shared" si="19"/>
        <v>9093376.8601846956</v>
      </c>
      <c r="R116" s="13">
        <f>VLOOKUP(A116,'IDI 18MARZO'!B:D,3,0)</f>
        <v>359.84</v>
      </c>
      <c r="S116" s="72">
        <f t="shared" si="20"/>
        <v>1.2299999999999613</v>
      </c>
    </row>
    <row r="117" spans="1:19" x14ac:dyDescent="0.25">
      <c r="A117" s="88">
        <v>43889</v>
      </c>
      <c r="B117" s="84">
        <v>10</v>
      </c>
      <c r="C117" s="73">
        <f t="shared" si="31"/>
        <v>1.6666666666666666E-2</v>
      </c>
      <c r="D117" s="13">
        <f t="shared" si="14"/>
        <v>360.08</v>
      </c>
      <c r="E117" s="45">
        <f t="shared" si="26"/>
        <v>25733.780365860832</v>
      </c>
      <c r="F117" s="82"/>
      <c r="G117" s="47">
        <f t="shared" si="15"/>
        <v>25733.780365860832</v>
      </c>
      <c r="H117" s="57">
        <f t="shared" si="27"/>
        <v>9266219.6341391671</v>
      </c>
      <c r="I117" s="58"/>
      <c r="J117" s="58">
        <f t="shared" si="28"/>
        <v>0</v>
      </c>
      <c r="K117" s="58">
        <f t="shared" si="29"/>
        <v>0</v>
      </c>
      <c r="L117" s="59">
        <f t="shared" si="16"/>
        <v>9266219.6341391671</v>
      </c>
      <c r="M117" s="13">
        <f t="shared" si="17"/>
        <v>154402682.19516498</v>
      </c>
      <c r="N117" s="13">
        <f t="shared" si="30"/>
        <v>55597317804.835007</v>
      </c>
      <c r="O117" s="72">
        <f t="shared" si="18"/>
        <v>37056643.726844788</v>
      </c>
      <c r="P117" s="13">
        <v>166666.66666666666</v>
      </c>
      <c r="Q117" s="72">
        <f t="shared" si="19"/>
        <v>9099552.9674725011</v>
      </c>
      <c r="R117" s="13">
        <f>VLOOKUP(A117,'IDI 18MARZO'!B:D,3,0)</f>
        <v>360.08</v>
      </c>
      <c r="S117" s="72">
        <f t="shared" si="20"/>
        <v>0.24000000000000909</v>
      </c>
    </row>
    <row r="118" spans="1:19" x14ac:dyDescent="0.25">
      <c r="A118" s="88">
        <v>43890</v>
      </c>
      <c r="B118" s="84">
        <v>10</v>
      </c>
      <c r="C118" s="73">
        <f t="shared" si="31"/>
        <v>1.6666666666666666E-2</v>
      </c>
      <c r="D118" s="13">
        <f t="shared" si="14"/>
        <v>360.08</v>
      </c>
      <c r="E118" s="45">
        <f t="shared" si="26"/>
        <v>25733.780365860832</v>
      </c>
      <c r="F118" s="82"/>
      <c r="G118" s="47">
        <f t="shared" si="15"/>
        <v>25733.780365860832</v>
      </c>
      <c r="H118" s="57">
        <f t="shared" si="27"/>
        <v>9266219.6341391671</v>
      </c>
      <c r="I118" s="58"/>
      <c r="J118" s="58">
        <f t="shared" si="28"/>
        <v>0</v>
      </c>
      <c r="K118" s="58">
        <f t="shared" si="29"/>
        <v>0</v>
      </c>
      <c r="L118" s="59">
        <f t="shared" si="16"/>
        <v>9266219.6341391671</v>
      </c>
      <c r="M118" s="13">
        <f t="shared" si="17"/>
        <v>154402682.19516498</v>
      </c>
      <c r="N118" s="13">
        <f t="shared" si="30"/>
        <v>55597317804.835007</v>
      </c>
      <c r="O118" s="72">
        <f t="shared" si="18"/>
        <v>0</v>
      </c>
      <c r="P118" s="13">
        <v>166666.66666666666</v>
      </c>
      <c r="Q118" s="72">
        <f t="shared" si="19"/>
        <v>9099552.9674725011</v>
      </c>
      <c r="R118" s="13">
        <f>VLOOKUP(A118,'IDI 18MARZO'!B:D,3,0)</f>
        <v>360.08</v>
      </c>
      <c r="S118" s="72">
        <f t="shared" si="20"/>
        <v>0</v>
      </c>
    </row>
    <row r="119" spans="1:19" x14ac:dyDescent="0.25">
      <c r="A119" s="88">
        <v>43891</v>
      </c>
      <c r="B119" s="84">
        <v>10</v>
      </c>
      <c r="C119" s="73">
        <f t="shared" si="31"/>
        <v>1.6666666666666666E-2</v>
      </c>
      <c r="D119" s="13">
        <f t="shared" si="14"/>
        <v>360.08</v>
      </c>
      <c r="E119" s="45">
        <f t="shared" si="26"/>
        <v>25733.780365860832</v>
      </c>
      <c r="F119" s="82"/>
      <c r="G119" s="47">
        <f t="shared" si="15"/>
        <v>25733.780365860832</v>
      </c>
      <c r="H119" s="57">
        <f t="shared" si="27"/>
        <v>9266219.6341391671</v>
      </c>
      <c r="I119" s="58"/>
      <c r="J119" s="58">
        <f t="shared" si="28"/>
        <v>0</v>
      </c>
      <c r="K119" s="58">
        <f t="shared" si="29"/>
        <v>0</v>
      </c>
      <c r="L119" s="59">
        <f t="shared" si="16"/>
        <v>9266219.6341391671</v>
      </c>
      <c r="M119" s="13">
        <f t="shared" si="17"/>
        <v>154402682.19516498</v>
      </c>
      <c r="N119" s="13">
        <f t="shared" si="30"/>
        <v>55597317804.835007</v>
      </c>
      <c r="O119" s="72">
        <f t="shared" si="18"/>
        <v>0</v>
      </c>
      <c r="P119" s="13">
        <v>166666.66666666666</v>
      </c>
      <c r="Q119" s="72">
        <f t="shared" si="19"/>
        <v>9099552.9674725011</v>
      </c>
      <c r="R119" s="13">
        <f>VLOOKUP(A119,'IDI 18MARZO'!B:D,3,0)</f>
        <v>360.08</v>
      </c>
      <c r="S119" s="72">
        <f t="shared" si="20"/>
        <v>0</v>
      </c>
    </row>
    <row r="120" spans="1:19" x14ac:dyDescent="0.25">
      <c r="A120" s="88">
        <v>43892</v>
      </c>
      <c r="B120" s="84">
        <v>10</v>
      </c>
      <c r="C120" s="73">
        <f t="shared" si="31"/>
        <v>1.6666666666666666E-2</v>
      </c>
      <c r="D120" s="13">
        <f t="shared" si="14"/>
        <v>362.23</v>
      </c>
      <c r="E120" s="45">
        <f t="shared" si="26"/>
        <v>25733.780365860832</v>
      </c>
      <c r="F120" s="82"/>
      <c r="G120" s="47">
        <f t="shared" si="15"/>
        <v>25733.780365860832</v>
      </c>
      <c r="H120" s="57">
        <f t="shared" si="27"/>
        <v>9321547.26192577</v>
      </c>
      <c r="I120" s="58"/>
      <c r="J120" s="58">
        <f t="shared" si="28"/>
        <v>0</v>
      </c>
      <c r="K120" s="58">
        <f t="shared" si="29"/>
        <v>0</v>
      </c>
      <c r="L120" s="59">
        <f t="shared" si="16"/>
        <v>9321547.26192577</v>
      </c>
      <c r="M120" s="13">
        <f t="shared" si="17"/>
        <v>154402682.19516498</v>
      </c>
      <c r="N120" s="13">
        <f t="shared" si="30"/>
        <v>55929283571.554611</v>
      </c>
      <c r="O120" s="72">
        <f t="shared" si="18"/>
        <v>331965766.71960449</v>
      </c>
      <c r="P120" s="13">
        <v>166666.66666666666</v>
      </c>
      <c r="Q120" s="72">
        <f t="shared" si="19"/>
        <v>9154880.5952591039</v>
      </c>
      <c r="R120" s="13">
        <f>VLOOKUP(A120,'IDI 18MARZO'!B:D,3,0)</f>
        <v>362.23</v>
      </c>
      <c r="S120" s="72">
        <f t="shared" si="20"/>
        <v>2.1500000000000341</v>
      </c>
    </row>
    <row r="121" spans="1:19" x14ac:dyDescent="0.25">
      <c r="A121" s="88">
        <v>43893</v>
      </c>
      <c r="B121" s="84">
        <v>10</v>
      </c>
      <c r="C121" s="73">
        <f t="shared" si="31"/>
        <v>1.6666666666666666E-2</v>
      </c>
      <c r="D121" s="13">
        <f t="shared" si="14"/>
        <v>361.72</v>
      </c>
      <c r="E121" s="45">
        <f t="shared" si="26"/>
        <v>25733.780365860832</v>
      </c>
      <c r="F121" s="82"/>
      <c r="G121" s="47">
        <f t="shared" si="15"/>
        <v>25733.780365860832</v>
      </c>
      <c r="H121" s="57">
        <f t="shared" si="27"/>
        <v>9308423.0339391809</v>
      </c>
      <c r="I121" s="58"/>
      <c r="J121" s="58">
        <f t="shared" si="28"/>
        <v>0</v>
      </c>
      <c r="K121" s="58">
        <f t="shared" si="29"/>
        <v>0</v>
      </c>
      <c r="L121" s="59">
        <f t="shared" si="16"/>
        <v>9308423.0339391809</v>
      </c>
      <c r="M121" s="13">
        <f t="shared" si="17"/>
        <v>154402682.19516498</v>
      </c>
      <c r="N121" s="13">
        <f t="shared" si="30"/>
        <v>55850538203.635078</v>
      </c>
      <c r="O121" s="72">
        <f t="shared" si="18"/>
        <v>-78745367.919532776</v>
      </c>
      <c r="P121" s="13">
        <v>166666.66666666666</v>
      </c>
      <c r="Q121" s="72">
        <f t="shared" si="19"/>
        <v>9141756.3672725148</v>
      </c>
      <c r="R121" s="13">
        <f>VLOOKUP(A121,'IDI 18MARZO'!B:D,3,0)</f>
        <v>361.72</v>
      </c>
      <c r="S121" s="72">
        <f t="shared" si="20"/>
        <v>-0.50999999999999091</v>
      </c>
    </row>
    <row r="122" spans="1:19" x14ac:dyDescent="0.25">
      <c r="A122" s="88">
        <v>43894</v>
      </c>
      <c r="B122" s="84">
        <v>10</v>
      </c>
      <c r="C122" s="73">
        <f t="shared" si="31"/>
        <v>1.6666666666666666E-2</v>
      </c>
      <c r="D122" s="13">
        <f t="shared" si="14"/>
        <v>360.95</v>
      </c>
      <c r="E122" s="45">
        <f t="shared" si="26"/>
        <v>25733.780365860832</v>
      </c>
      <c r="F122" s="82"/>
      <c r="G122" s="47">
        <f t="shared" si="15"/>
        <v>25733.780365860832</v>
      </c>
      <c r="H122" s="57">
        <f t="shared" si="27"/>
        <v>9288608.0230574664</v>
      </c>
      <c r="I122" s="58"/>
      <c r="J122" s="58">
        <f t="shared" si="28"/>
        <v>0</v>
      </c>
      <c r="K122" s="58">
        <f t="shared" si="29"/>
        <v>0</v>
      </c>
      <c r="L122" s="59">
        <f t="shared" si="16"/>
        <v>9288608.0230574664</v>
      </c>
      <c r="M122" s="13">
        <f t="shared" si="17"/>
        <v>154402682.19516498</v>
      </c>
      <c r="N122" s="13">
        <f t="shared" si="30"/>
        <v>55731648138.344795</v>
      </c>
      <c r="O122" s="72">
        <f t="shared" si="18"/>
        <v>-118890065.2902832</v>
      </c>
      <c r="P122" s="13">
        <v>166666.66666666666</v>
      </c>
      <c r="Q122" s="72">
        <f t="shared" si="19"/>
        <v>9121941.3563908003</v>
      </c>
      <c r="R122" s="13">
        <f>VLOOKUP(A122,'IDI 18MARZO'!B:D,3,0)</f>
        <v>360.95</v>
      </c>
      <c r="S122" s="72">
        <f t="shared" si="20"/>
        <v>-0.77000000000003865</v>
      </c>
    </row>
    <row r="123" spans="1:19" x14ac:dyDescent="0.25">
      <c r="A123" s="88">
        <v>43895</v>
      </c>
      <c r="B123" s="84">
        <v>10</v>
      </c>
      <c r="C123" s="73">
        <f t="shared" si="31"/>
        <v>1.6666666666666666E-2</v>
      </c>
      <c r="D123" s="13">
        <f t="shared" si="14"/>
        <v>360.09</v>
      </c>
      <c r="E123" s="45">
        <f t="shared" si="26"/>
        <v>25733.780365860832</v>
      </c>
      <c r="F123" s="82"/>
      <c r="G123" s="47">
        <f t="shared" si="15"/>
        <v>25733.780365860832</v>
      </c>
      <c r="H123" s="57">
        <f t="shared" si="27"/>
        <v>9266476.9719428271</v>
      </c>
      <c r="I123" s="58"/>
      <c r="J123" s="58">
        <f t="shared" si="28"/>
        <v>0</v>
      </c>
      <c r="K123" s="58">
        <f t="shared" si="29"/>
        <v>0</v>
      </c>
      <c r="L123" s="59">
        <f t="shared" si="16"/>
        <v>9266476.9719428271</v>
      </c>
      <c r="M123" s="13">
        <f t="shared" si="17"/>
        <v>154402682.19516498</v>
      </c>
      <c r="N123" s="13">
        <f t="shared" si="30"/>
        <v>55598861831.656952</v>
      </c>
      <c r="O123" s="72">
        <f t="shared" si="18"/>
        <v>-132786306.68784332</v>
      </c>
      <c r="P123" s="13">
        <v>166666.66666666666</v>
      </c>
      <c r="Q123" s="72">
        <f t="shared" si="19"/>
        <v>9099810.3052761611</v>
      </c>
      <c r="R123" s="13">
        <f>VLOOKUP(A123,'IDI 18MARZO'!B:D,3,0)</f>
        <v>360.09</v>
      </c>
      <c r="S123" s="72">
        <f t="shared" si="20"/>
        <v>-0.86000000000001364</v>
      </c>
    </row>
    <row r="124" spans="1:19" x14ac:dyDescent="0.25">
      <c r="A124" s="88">
        <v>43896</v>
      </c>
      <c r="B124" s="84">
        <v>10</v>
      </c>
      <c r="C124" s="73">
        <f t="shared" si="31"/>
        <v>1.6666666666666666E-2</v>
      </c>
      <c r="D124" s="13">
        <f t="shared" si="14"/>
        <v>357.84</v>
      </c>
      <c r="E124" s="45">
        <f t="shared" si="26"/>
        <v>25733.780365860832</v>
      </c>
      <c r="F124" s="82"/>
      <c r="G124" s="47">
        <f t="shared" si="15"/>
        <v>25733.780365860832</v>
      </c>
      <c r="H124" s="57">
        <f t="shared" si="27"/>
        <v>9208575.9661196396</v>
      </c>
      <c r="I124" s="58"/>
      <c r="J124" s="58">
        <f t="shared" si="28"/>
        <v>0</v>
      </c>
      <c r="K124" s="58">
        <f t="shared" si="29"/>
        <v>0</v>
      </c>
      <c r="L124" s="59">
        <f t="shared" si="16"/>
        <v>9208575.9661196396</v>
      </c>
      <c r="M124" s="13">
        <f t="shared" si="17"/>
        <v>154402682.19516498</v>
      </c>
      <c r="N124" s="13">
        <f t="shared" si="30"/>
        <v>55251455796.717834</v>
      </c>
      <c r="O124" s="72">
        <f t="shared" si="18"/>
        <v>-347406034.93911743</v>
      </c>
      <c r="P124" s="13">
        <v>166666.66666666666</v>
      </c>
      <c r="Q124" s="72">
        <f t="shared" si="19"/>
        <v>9041909.2994529735</v>
      </c>
      <c r="R124" s="13">
        <f>VLOOKUP(A124,'IDI 18MARZO'!B:D,3,0)</f>
        <v>357.84</v>
      </c>
      <c r="S124" s="72">
        <f t="shared" si="20"/>
        <v>-2.25</v>
      </c>
    </row>
    <row r="125" spans="1:19" x14ac:dyDescent="0.25">
      <c r="A125" s="88">
        <v>43897</v>
      </c>
      <c r="B125" s="84">
        <v>10</v>
      </c>
      <c r="C125" s="73">
        <f t="shared" si="31"/>
        <v>1.6666666666666666E-2</v>
      </c>
      <c r="D125" s="13">
        <f t="shared" si="14"/>
        <v>357.84</v>
      </c>
      <c r="E125" s="45">
        <f t="shared" si="26"/>
        <v>25733.780365860832</v>
      </c>
      <c r="F125" s="82"/>
      <c r="G125" s="47">
        <f t="shared" si="15"/>
        <v>25733.780365860832</v>
      </c>
      <c r="H125" s="57">
        <f t="shared" si="27"/>
        <v>9208575.9661196396</v>
      </c>
      <c r="I125" s="58"/>
      <c r="J125" s="58">
        <f t="shared" si="28"/>
        <v>0</v>
      </c>
      <c r="K125" s="58">
        <f t="shared" si="29"/>
        <v>0</v>
      </c>
      <c r="L125" s="59">
        <f t="shared" si="16"/>
        <v>9208575.9661196396</v>
      </c>
      <c r="M125" s="13">
        <f t="shared" si="17"/>
        <v>154402682.19516498</v>
      </c>
      <c r="N125" s="13">
        <f t="shared" si="30"/>
        <v>55251455796.717834</v>
      </c>
      <c r="O125" s="72">
        <f t="shared" si="18"/>
        <v>0</v>
      </c>
      <c r="P125" s="13">
        <v>166666.66666666666</v>
      </c>
      <c r="Q125" s="72">
        <f t="shared" si="19"/>
        <v>9041909.2994529735</v>
      </c>
      <c r="R125" s="13">
        <f>VLOOKUP(A125,'IDI 18MARZO'!B:D,3,0)</f>
        <v>357.84</v>
      </c>
      <c r="S125" s="72">
        <f t="shared" si="20"/>
        <v>0</v>
      </c>
    </row>
    <row r="126" spans="1:19" x14ac:dyDescent="0.25">
      <c r="A126" s="88">
        <v>43898</v>
      </c>
      <c r="B126" s="84">
        <v>10</v>
      </c>
      <c r="C126" s="73">
        <f t="shared" si="31"/>
        <v>1.6666666666666666E-2</v>
      </c>
      <c r="D126" s="13">
        <f t="shared" si="14"/>
        <v>357.84</v>
      </c>
      <c r="E126" s="45">
        <f t="shared" si="26"/>
        <v>25733.780365860832</v>
      </c>
      <c r="F126" s="82"/>
      <c r="G126" s="47">
        <f t="shared" si="15"/>
        <v>25733.780365860832</v>
      </c>
      <c r="H126" s="57">
        <f t="shared" si="27"/>
        <v>9208575.9661196396</v>
      </c>
      <c r="I126" s="58"/>
      <c r="J126" s="58">
        <f t="shared" si="28"/>
        <v>0</v>
      </c>
      <c r="K126" s="58">
        <f t="shared" si="29"/>
        <v>0</v>
      </c>
      <c r="L126" s="59">
        <f t="shared" si="16"/>
        <v>9208575.9661196396</v>
      </c>
      <c r="M126" s="13">
        <f t="shared" si="17"/>
        <v>154402682.19516498</v>
      </c>
      <c r="N126" s="13">
        <f t="shared" si="30"/>
        <v>55251455796.717834</v>
      </c>
      <c r="O126" s="72">
        <f t="shared" si="18"/>
        <v>0</v>
      </c>
      <c r="P126" s="13">
        <v>166666.66666666666</v>
      </c>
      <c r="Q126" s="72">
        <f t="shared" si="19"/>
        <v>9041909.2994529735</v>
      </c>
      <c r="R126" s="13">
        <f>VLOOKUP(A126,'IDI 18MARZO'!B:D,3,0)</f>
        <v>357.84</v>
      </c>
      <c r="S126" s="72">
        <f t="shared" si="20"/>
        <v>0</v>
      </c>
    </row>
    <row r="127" spans="1:19" x14ac:dyDescent="0.25">
      <c r="A127" s="88">
        <v>43899</v>
      </c>
      <c r="B127" s="84">
        <v>10</v>
      </c>
      <c r="C127" s="73">
        <f t="shared" si="31"/>
        <v>1.6666666666666666E-2</v>
      </c>
      <c r="D127" s="13">
        <f t="shared" si="14"/>
        <v>357.99</v>
      </c>
      <c r="E127" s="45">
        <f t="shared" si="26"/>
        <v>25733.780365860832</v>
      </c>
      <c r="F127" s="82"/>
      <c r="G127" s="47">
        <f t="shared" si="15"/>
        <v>25733.780365860832</v>
      </c>
      <c r="H127" s="57">
        <f t="shared" si="27"/>
        <v>9212436.0331745185</v>
      </c>
      <c r="I127" s="58"/>
      <c r="J127" s="58">
        <f t="shared" si="28"/>
        <v>0</v>
      </c>
      <c r="K127" s="58">
        <f t="shared" si="29"/>
        <v>0</v>
      </c>
      <c r="L127" s="59">
        <f t="shared" si="16"/>
        <v>9212436.0331745185</v>
      </c>
      <c r="M127" s="13">
        <f t="shared" si="17"/>
        <v>154402682.19516498</v>
      </c>
      <c r="N127" s="13">
        <f t="shared" si="30"/>
        <v>55274616199.047112</v>
      </c>
      <c r="O127" s="72">
        <f t="shared" si="18"/>
        <v>23160402.329277039</v>
      </c>
      <c r="P127" s="13">
        <v>166666.66666666666</v>
      </c>
      <c r="Q127" s="72">
        <f t="shared" si="19"/>
        <v>9045769.3665078525</v>
      </c>
      <c r="R127" s="13">
        <f>VLOOKUP(A127,'IDI 18MARZO'!B:D,3,0)</f>
        <v>357.99</v>
      </c>
      <c r="S127" s="72">
        <f t="shared" si="20"/>
        <v>0.15000000000003411</v>
      </c>
    </row>
    <row r="128" spans="1:19" x14ac:dyDescent="0.25">
      <c r="A128" s="88">
        <v>43900</v>
      </c>
      <c r="B128" s="84">
        <v>10</v>
      </c>
      <c r="C128" s="73">
        <f t="shared" si="31"/>
        <v>1.6666666666666666E-2</v>
      </c>
      <c r="D128" s="13">
        <f t="shared" si="14"/>
        <v>358.14</v>
      </c>
      <c r="E128" s="45">
        <f t="shared" si="26"/>
        <v>25733.780365860832</v>
      </c>
      <c r="F128" s="82"/>
      <c r="G128" s="47">
        <f t="shared" si="15"/>
        <v>25733.780365860832</v>
      </c>
      <c r="H128" s="57">
        <f t="shared" si="27"/>
        <v>9216296.1002293974</v>
      </c>
      <c r="I128" s="58"/>
      <c r="J128" s="58">
        <f t="shared" si="28"/>
        <v>0</v>
      </c>
      <c r="K128" s="58">
        <f t="shared" si="29"/>
        <v>0</v>
      </c>
      <c r="L128" s="59">
        <f t="shared" si="16"/>
        <v>9216296.1002293974</v>
      </c>
      <c r="M128" s="13">
        <f t="shared" si="17"/>
        <v>154402682.19516498</v>
      </c>
      <c r="N128" s="13">
        <f t="shared" si="30"/>
        <v>55297776601.376381</v>
      </c>
      <c r="O128" s="72">
        <f t="shared" si="18"/>
        <v>23160402.329269409</v>
      </c>
      <c r="P128" s="13">
        <v>166666.66666666666</v>
      </c>
      <c r="Q128" s="72">
        <f t="shared" si="19"/>
        <v>9049629.4335627314</v>
      </c>
      <c r="R128" s="13">
        <f>VLOOKUP(A128,'IDI 18MARZO'!B:D,3,0)</f>
        <v>358.14</v>
      </c>
      <c r="S128" s="72">
        <f t="shared" si="20"/>
        <v>0.14999999999997726</v>
      </c>
    </row>
    <row r="129" spans="1:19" x14ac:dyDescent="0.25">
      <c r="A129" s="88">
        <v>43901</v>
      </c>
      <c r="B129" s="84">
        <v>10</v>
      </c>
      <c r="C129" s="73">
        <f t="shared" si="31"/>
        <v>1.6666666666666666E-2</v>
      </c>
      <c r="D129" s="13">
        <f t="shared" si="14"/>
        <v>358.53</v>
      </c>
      <c r="E129" s="45">
        <f t="shared" si="26"/>
        <v>25733.780365860832</v>
      </c>
      <c r="F129" s="82"/>
      <c r="G129" s="47">
        <f t="shared" si="15"/>
        <v>25733.780365860832</v>
      </c>
      <c r="H129" s="57">
        <f t="shared" si="27"/>
        <v>9226332.2745720837</v>
      </c>
      <c r="I129" s="58"/>
      <c r="J129" s="58">
        <f t="shared" si="28"/>
        <v>0</v>
      </c>
      <c r="K129" s="58">
        <f t="shared" si="29"/>
        <v>0</v>
      </c>
      <c r="L129" s="59">
        <f t="shared" si="16"/>
        <v>9226332.2745720837</v>
      </c>
      <c r="M129" s="13">
        <f t="shared" si="17"/>
        <v>154402682.19516498</v>
      </c>
      <c r="N129" s="13">
        <f t="shared" si="30"/>
        <v>55357993647.432495</v>
      </c>
      <c r="O129" s="72">
        <f t="shared" si="18"/>
        <v>60217046.056114197</v>
      </c>
      <c r="P129" s="13">
        <v>166666.66666666666</v>
      </c>
      <c r="Q129" s="72">
        <f t="shared" si="19"/>
        <v>9059665.6079054177</v>
      </c>
      <c r="R129" s="13">
        <f>VLOOKUP(A129,'IDI 18MARZO'!B:D,3,0)</f>
        <v>358.53</v>
      </c>
      <c r="S129" s="72">
        <f t="shared" si="20"/>
        <v>0.38999999999998636</v>
      </c>
    </row>
    <row r="130" spans="1:19" x14ac:dyDescent="0.25">
      <c r="A130" s="88">
        <v>43902</v>
      </c>
      <c r="B130" s="84">
        <v>10</v>
      </c>
      <c r="C130" s="73">
        <f t="shared" si="31"/>
        <v>1.6666666666666666E-2</v>
      </c>
      <c r="D130" s="13">
        <f t="shared" si="14"/>
        <v>360.07</v>
      </c>
      <c r="E130" s="45">
        <f t="shared" si="26"/>
        <v>25733.780365860832</v>
      </c>
      <c r="F130" s="82"/>
      <c r="G130" s="47">
        <f t="shared" si="15"/>
        <v>25733.780365860832</v>
      </c>
      <c r="H130" s="57">
        <f t="shared" si="27"/>
        <v>9265962.296335509</v>
      </c>
      <c r="I130" s="58"/>
      <c r="J130" s="58">
        <f t="shared" si="28"/>
        <v>0</v>
      </c>
      <c r="K130" s="58">
        <f t="shared" si="29"/>
        <v>0</v>
      </c>
      <c r="L130" s="59">
        <f t="shared" si="16"/>
        <v>9265962.296335509</v>
      </c>
      <c r="M130" s="13">
        <f t="shared" si="17"/>
        <v>154402682.19516498</v>
      </c>
      <c r="N130" s="13">
        <f t="shared" si="30"/>
        <v>55595773778.013054</v>
      </c>
      <c r="O130" s="72">
        <f t="shared" si="18"/>
        <v>237780130.58055878</v>
      </c>
      <c r="P130" s="13">
        <v>166666.66666666666</v>
      </c>
      <c r="Q130" s="72">
        <f t="shared" si="19"/>
        <v>9099295.629668843</v>
      </c>
      <c r="R130" s="13">
        <f>VLOOKUP(A130,'IDI 18MARZO'!B:D,3,0)</f>
        <v>360.07</v>
      </c>
      <c r="S130" s="72">
        <f t="shared" si="20"/>
        <v>1.5400000000000205</v>
      </c>
    </row>
    <row r="131" spans="1:19" x14ac:dyDescent="0.25">
      <c r="A131" s="88">
        <v>43903</v>
      </c>
      <c r="B131" s="84">
        <v>10</v>
      </c>
      <c r="C131" s="73">
        <f t="shared" si="31"/>
        <v>1.6666666666666666E-2</v>
      </c>
      <c r="D131" s="13">
        <f t="shared" si="14"/>
        <v>360.26</v>
      </c>
      <c r="E131" s="45">
        <f t="shared" si="26"/>
        <v>25733.780365860832</v>
      </c>
      <c r="F131" s="82"/>
      <c r="G131" s="47">
        <f t="shared" si="15"/>
        <v>25733.780365860832</v>
      </c>
      <c r="H131" s="57">
        <f t="shared" si="27"/>
        <v>9270851.7146050222</v>
      </c>
      <c r="I131" s="58"/>
      <c r="J131" s="58">
        <f t="shared" si="28"/>
        <v>0</v>
      </c>
      <c r="K131" s="58">
        <f t="shared" si="29"/>
        <v>0</v>
      </c>
      <c r="L131" s="59">
        <f t="shared" si="16"/>
        <v>9270851.7146050222</v>
      </c>
      <c r="M131" s="13">
        <f t="shared" si="17"/>
        <v>154402682.19516498</v>
      </c>
      <c r="N131" s="13">
        <f t="shared" si="30"/>
        <v>55625110287.630135</v>
      </c>
      <c r="O131" s="72">
        <f t="shared" si="18"/>
        <v>29336509.617080688</v>
      </c>
      <c r="P131" s="13">
        <v>166666.66666666666</v>
      </c>
      <c r="Q131" s="72">
        <f t="shared" si="19"/>
        <v>9104185.0479383562</v>
      </c>
      <c r="R131" s="13">
        <f>VLOOKUP(A131,'IDI 18MARZO'!B:D,3,0)</f>
        <v>360.26</v>
      </c>
      <c r="S131" s="72">
        <f t="shared" si="20"/>
        <v>0.18999999999999773</v>
      </c>
    </row>
    <row r="132" spans="1:19" x14ac:dyDescent="0.25">
      <c r="A132" s="88">
        <v>43904</v>
      </c>
      <c r="B132" s="84">
        <v>10</v>
      </c>
      <c r="C132" s="73">
        <f t="shared" si="31"/>
        <v>1.6666666666666666E-2</v>
      </c>
      <c r="D132" s="13">
        <f t="shared" si="14"/>
        <v>360.26</v>
      </c>
      <c r="E132" s="45">
        <f t="shared" si="26"/>
        <v>25733.780365860832</v>
      </c>
      <c r="F132" s="82"/>
      <c r="G132" s="47">
        <f t="shared" si="15"/>
        <v>25733.780365860832</v>
      </c>
      <c r="H132" s="57">
        <f t="shared" si="27"/>
        <v>9270851.7146050222</v>
      </c>
      <c r="I132" s="58"/>
      <c r="J132" s="58">
        <f t="shared" si="28"/>
        <v>0</v>
      </c>
      <c r="K132" s="58">
        <f t="shared" si="29"/>
        <v>0</v>
      </c>
      <c r="L132" s="59">
        <f t="shared" si="16"/>
        <v>9270851.7146050222</v>
      </c>
      <c r="M132" s="13">
        <f t="shared" si="17"/>
        <v>154402682.19516498</v>
      </c>
      <c r="N132" s="13">
        <f t="shared" si="30"/>
        <v>55625110287.630135</v>
      </c>
      <c r="O132" s="72">
        <f t="shared" si="18"/>
        <v>0</v>
      </c>
      <c r="P132" s="13">
        <v>166666.66666666666</v>
      </c>
      <c r="Q132" s="72">
        <f t="shared" si="19"/>
        <v>9104185.0479383562</v>
      </c>
      <c r="R132" s="13">
        <f>VLOOKUP(A132,'IDI 18MARZO'!B:D,3,0)</f>
        <v>360.26</v>
      </c>
      <c r="S132" s="72">
        <f t="shared" si="20"/>
        <v>0</v>
      </c>
    </row>
    <row r="133" spans="1:19" x14ac:dyDescent="0.25">
      <c r="A133" s="88">
        <v>43905</v>
      </c>
      <c r="B133" s="84">
        <v>10</v>
      </c>
      <c r="C133" s="73">
        <f t="shared" si="31"/>
        <v>1.6666666666666666E-2</v>
      </c>
      <c r="D133" s="13">
        <f t="shared" ref="D133" si="32">IF(R133&gt;$D$44,R133,$D$44)</f>
        <v>360.26</v>
      </c>
      <c r="E133" s="45">
        <f t="shared" si="26"/>
        <v>25733.780365860832</v>
      </c>
      <c r="F133" s="13">
        <f>+M103</f>
        <v>154402682.19516498</v>
      </c>
      <c r="G133" s="47">
        <f t="shared" ref="G133" si="33">+E133+F133</f>
        <v>154428415.97553083</v>
      </c>
      <c r="H133" s="57">
        <f t="shared" si="27"/>
        <v>9270851.7146050222</v>
      </c>
      <c r="I133" s="58"/>
      <c r="J133" s="58"/>
      <c r="K133" s="58"/>
      <c r="L133" s="59">
        <f t="shared" si="16"/>
        <v>9270851.7146050222</v>
      </c>
      <c r="M133" s="13">
        <f t="shared" si="17"/>
        <v>0</v>
      </c>
      <c r="N133" s="13">
        <f t="shared" si="30"/>
        <v>0</v>
      </c>
      <c r="O133" s="86">
        <f>SUM(O45:O132)</f>
        <v>20625110287.630135</v>
      </c>
      <c r="P133" s="13">
        <v>166666.66666666666</v>
      </c>
      <c r="Q133" s="72">
        <f t="shared" si="19"/>
        <v>9104185.0479383562</v>
      </c>
      <c r="R133" s="13">
        <f>VLOOKUP(A133,'IDI 18MARZO'!B:D,3,0)</f>
        <v>360.26</v>
      </c>
      <c r="S133" s="72">
        <f t="shared" si="20"/>
        <v>0</v>
      </c>
    </row>
    <row r="134" spans="1:19" x14ac:dyDescent="0.25">
      <c r="A134" s="88"/>
      <c r="B134" s="84"/>
      <c r="C134" s="73"/>
      <c r="D134" s="13"/>
      <c r="E134" s="45"/>
      <c r="F134" s="13"/>
      <c r="G134" s="145"/>
      <c r="H134" s="57"/>
      <c r="I134" s="58">
        <f>D11</f>
        <v>35000000000</v>
      </c>
      <c r="J134" s="86">
        <f>+F133*D133-I134</f>
        <v>20625110287.630135</v>
      </c>
      <c r="K134" s="58">
        <f>+F133*D133</f>
        <v>55625110287.630135</v>
      </c>
      <c r="L134" s="59">
        <f>SUM(L45:L133)+K134</f>
        <v>56370492581.318741</v>
      </c>
      <c r="M134" s="13"/>
      <c r="N134" s="13"/>
      <c r="O134" s="86"/>
      <c r="P134" s="13"/>
      <c r="Q134" s="72"/>
      <c r="R134" s="13"/>
      <c r="S134" s="72"/>
    </row>
    <row r="135" spans="1:19" ht="15.75" thickBot="1" x14ac:dyDescent="0.3">
      <c r="A135" s="15"/>
      <c r="B135" s="15"/>
      <c r="C135" s="15"/>
      <c r="D135" s="16"/>
      <c r="E135" s="48">
        <f t="shared" ref="E135:G135" si="34">+SUM(E105:E133)</f>
        <v>746279.6306099639</v>
      </c>
      <c r="F135" s="48">
        <f t="shared" si="34"/>
        <v>154402682.19516498</v>
      </c>
      <c r="G135" s="48">
        <f t="shared" si="34"/>
        <v>155148961.82577494</v>
      </c>
      <c r="H135" s="48">
        <f>+SUM(H45:H133)</f>
        <v>745382293.68860662</v>
      </c>
      <c r="I135" s="48">
        <f>+SUM(I105:I134)</f>
        <v>35000000000</v>
      </c>
      <c r="J135" s="48">
        <f>+SUM(J105:J134)</f>
        <v>20625110287.630135</v>
      </c>
      <c r="K135" s="48">
        <f>+SUM(K105:K134)</f>
        <v>55625110287.630135</v>
      </c>
      <c r="L135" s="48">
        <f>+SUM(L45:L134)-H135</f>
        <v>56370492581.318741</v>
      </c>
      <c r="M135" s="48"/>
      <c r="N135" s="48"/>
      <c r="O135" s="72"/>
      <c r="P135" s="94">
        <f>SUM(P105:P133)</f>
        <v>4833333.333333333</v>
      </c>
      <c r="Q135" s="95">
        <f>H135-P135</f>
        <v>740548960.35527325</v>
      </c>
    </row>
    <row r="137" spans="1:19" x14ac:dyDescent="0.25">
      <c r="D137">
        <f>COUNTA(D45:D133)</f>
        <v>89</v>
      </c>
      <c r="K137" s="72">
        <f>K134+H135</f>
        <v>56370492581.318741</v>
      </c>
      <c r="L137" s="72"/>
    </row>
    <row r="138" spans="1:19" x14ac:dyDescent="0.25">
      <c r="K138" s="72">
        <f>D29</f>
        <v>10500000000</v>
      </c>
    </row>
    <row r="139" spans="1:19" x14ac:dyDescent="0.25">
      <c r="K139" s="72">
        <f>K137+K138</f>
        <v>66870492581.318741</v>
      </c>
      <c r="L139" s="72"/>
    </row>
  </sheetData>
  <protectedRanges>
    <protectedRange algorithmName="SHA-512" hashValue="8o3XMw3St9iEfR/G+CKnxdZ1iUg+AjgjJAjpu7Vn/EbX2qvXVlVvGR+19k0VoFk3z02DooRzQnRn9SwW+yzvSQ==" saltValue="sv6sm3OAkmAng0G0YMjKQA==" spinCount="100000" sqref="D11 A28:D40 B20:D27 B11 B6:D9 A1:D5 A6:A27 C10:E10 C12:E19" name="Rango1"/>
  </protectedRanges>
  <mergeCells count="4">
    <mergeCell ref="E41:G41"/>
    <mergeCell ref="H41:L41"/>
    <mergeCell ref="I42:K42"/>
    <mergeCell ref="A24:G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1"/>
  <sheetViews>
    <sheetView zoomScale="86" zoomScaleNormal="86" workbookViewId="0">
      <selection activeCell="I132" sqref="I132"/>
    </sheetView>
  </sheetViews>
  <sheetFormatPr baseColWidth="10" defaultColWidth="10.85546875" defaultRowHeight="15" x14ac:dyDescent="0.25"/>
  <cols>
    <col min="1" max="1" width="21.85546875" style="105" bestFit="1" customWidth="1"/>
    <col min="2" max="2" width="19.28515625" style="105" hidden="1" customWidth="1"/>
    <col min="3" max="3" width="18.85546875" style="105" bestFit="1" customWidth="1"/>
    <col min="4" max="4" width="12.5703125" style="105" bestFit="1" customWidth="1"/>
    <col min="5" max="5" width="15.28515625" style="105" customWidth="1"/>
    <col min="6" max="6" width="15.5703125" style="105" customWidth="1"/>
    <col min="7" max="7" width="16.140625" style="105" customWidth="1"/>
    <col min="8" max="8" width="16.7109375" style="105" customWidth="1"/>
    <col min="9" max="9" width="18.42578125" style="105" customWidth="1"/>
    <col min="10" max="10" width="20.28515625" style="105" customWidth="1"/>
    <col min="11" max="11" width="19.85546875" style="105" customWidth="1"/>
    <col min="12" max="12" width="19.7109375" style="105" customWidth="1"/>
    <col min="13" max="13" width="18.42578125" style="105" customWidth="1"/>
    <col min="14" max="14" width="20.85546875" style="105" customWidth="1"/>
    <col min="15" max="15" width="20.140625" style="105" hidden="1" customWidth="1"/>
    <col min="16" max="16" width="19.5703125" style="105" hidden="1" customWidth="1"/>
    <col min="17" max="17" width="18.28515625" style="105" hidden="1" customWidth="1"/>
    <col min="18" max="18" width="14.140625" style="105" hidden="1" customWidth="1"/>
    <col min="19" max="19" width="14.42578125" style="105" hidden="1" customWidth="1"/>
    <col min="20" max="20" width="14.85546875" style="105" hidden="1" customWidth="1"/>
    <col min="21" max="21" width="15.42578125" style="105" hidden="1" customWidth="1"/>
    <col min="22" max="16384" width="10.85546875" style="105"/>
  </cols>
  <sheetData>
    <row r="1" spans="1:19" customFormat="1" x14ac:dyDescent="0.25">
      <c r="A1" s="106" t="s">
        <v>66</v>
      </c>
      <c r="B1" s="105"/>
      <c r="C1" s="88">
        <v>43786</v>
      </c>
    </row>
    <row r="2" spans="1:19" customFormat="1" x14ac:dyDescent="0.25">
      <c r="A2" s="106" t="s">
        <v>49</v>
      </c>
      <c r="B2" s="105"/>
      <c r="C2" s="107" t="s">
        <v>50</v>
      </c>
    </row>
    <row r="3" spans="1:19" customFormat="1" ht="15.75" thickBot="1" x14ac:dyDescent="0.3">
      <c r="B3" s="105"/>
      <c r="K3" t="s">
        <v>41</v>
      </c>
    </row>
    <row r="4" spans="1:19" customFormat="1" ht="15.75" x14ac:dyDescent="0.25">
      <c r="A4" s="1" t="s">
        <v>0</v>
      </c>
      <c r="B4" s="105"/>
      <c r="C4" s="85">
        <v>6</v>
      </c>
      <c r="K4" t="s">
        <v>42</v>
      </c>
    </row>
    <row r="5" spans="1:19" customFormat="1" ht="15.75" x14ac:dyDescent="0.25">
      <c r="A5" s="2" t="s">
        <v>1</v>
      </c>
      <c r="B5" s="105"/>
      <c r="C5" s="3">
        <f>+C4/12</f>
        <v>0.5</v>
      </c>
      <c r="D5">
        <f>+C4/360</f>
        <v>1.6666666666666666E-2</v>
      </c>
      <c r="K5" t="s">
        <v>43</v>
      </c>
    </row>
    <row r="6" spans="1:19" customFormat="1" ht="15.75" x14ac:dyDescent="0.25">
      <c r="A6" s="2" t="s">
        <v>16</v>
      </c>
      <c r="B6" s="105"/>
      <c r="C6" s="3">
        <v>1000000000</v>
      </c>
      <c r="G6" s="5"/>
      <c r="K6" t="s">
        <v>42</v>
      </c>
      <c r="M6" s="5"/>
      <c r="N6" s="5"/>
    </row>
    <row r="7" spans="1:19" customFormat="1" ht="15.75" x14ac:dyDescent="0.25">
      <c r="A7" s="2" t="s">
        <v>3</v>
      </c>
      <c r="B7" s="105"/>
      <c r="C7" s="4" t="s">
        <v>47</v>
      </c>
      <c r="G7" s="83">
        <f>F14*D14</f>
        <v>0</v>
      </c>
      <c r="K7" t="s">
        <v>42</v>
      </c>
      <c r="M7" s="5"/>
      <c r="N7" s="5"/>
    </row>
    <row r="8" spans="1:19" customFormat="1" ht="110.25" hidden="1" x14ac:dyDescent="0.25">
      <c r="A8" s="6" t="s">
        <v>4</v>
      </c>
      <c r="B8" s="105"/>
      <c r="C8" s="7">
        <v>629.39537065264267</v>
      </c>
      <c r="G8" s="5"/>
      <c r="M8" s="5"/>
      <c r="N8" s="5"/>
    </row>
    <row r="9" spans="1:19" customFormat="1" ht="16.5" thickBot="1" x14ac:dyDescent="0.3">
      <c r="A9" s="36"/>
      <c r="B9" s="105"/>
      <c r="C9" s="68"/>
      <c r="G9" s="5"/>
      <c r="M9" s="5"/>
      <c r="N9" s="5"/>
    </row>
    <row r="10" spans="1:19" customFormat="1" ht="43.5" customHeight="1" thickBot="1" x14ac:dyDescent="0.3">
      <c r="B10" s="8"/>
      <c r="D10" s="5"/>
      <c r="E10" s="233" t="s">
        <v>6</v>
      </c>
      <c r="F10" s="234"/>
      <c r="G10" s="235"/>
      <c r="H10" s="236" t="s">
        <v>7</v>
      </c>
      <c r="I10" s="237"/>
      <c r="J10" s="237"/>
      <c r="K10" s="237"/>
      <c r="L10" s="238"/>
      <c r="M10" s="5"/>
      <c r="N10" s="5"/>
    </row>
    <row r="11" spans="1:19" customFormat="1" ht="45.75" thickBot="1" x14ac:dyDescent="0.3">
      <c r="A11" s="9" t="s">
        <v>51</v>
      </c>
      <c r="B11" s="9" t="s">
        <v>8</v>
      </c>
      <c r="C11" s="9" t="s">
        <v>9</v>
      </c>
      <c r="D11" s="9" t="s">
        <v>10</v>
      </c>
      <c r="E11" s="37" t="s">
        <v>11</v>
      </c>
      <c r="F11" s="24" t="s">
        <v>3</v>
      </c>
      <c r="G11" s="38" t="s">
        <v>12</v>
      </c>
      <c r="H11" s="49" t="s">
        <v>11</v>
      </c>
      <c r="I11" s="239" t="s">
        <v>3</v>
      </c>
      <c r="J11" s="240"/>
      <c r="K11" s="241"/>
      <c r="L11" s="50" t="s">
        <v>12</v>
      </c>
      <c r="M11" s="9" t="s">
        <v>13</v>
      </c>
      <c r="N11" s="9" t="s">
        <v>14</v>
      </c>
      <c r="P11" t="s">
        <v>44</v>
      </c>
      <c r="Q11" t="s">
        <v>45</v>
      </c>
    </row>
    <row r="12" spans="1:19" customFormat="1" ht="30" x14ac:dyDescent="0.25">
      <c r="B12" s="11"/>
      <c r="C12" s="11"/>
      <c r="D12" s="11"/>
      <c r="E12" s="39"/>
      <c r="F12" s="40"/>
      <c r="G12" s="41"/>
      <c r="H12" s="51"/>
      <c r="I12" s="52" t="s">
        <v>26</v>
      </c>
      <c r="J12" s="52" t="s">
        <v>27</v>
      </c>
      <c r="K12" s="52" t="s">
        <v>15</v>
      </c>
      <c r="L12" s="53"/>
      <c r="M12" s="11"/>
      <c r="N12" s="11"/>
      <c r="O12" s="87" t="s">
        <v>48</v>
      </c>
      <c r="P12" s="87" t="s">
        <v>40</v>
      </c>
      <c r="Q12" s="87" t="s">
        <v>46</v>
      </c>
    </row>
    <row r="13" spans="1:19" customFormat="1" x14ac:dyDescent="0.25">
      <c r="A13" s="88">
        <f>C1</f>
        <v>43786</v>
      </c>
      <c r="B13" s="12"/>
      <c r="C13" s="12"/>
      <c r="D13" s="13">
        <f>VLOOKUP(A13,'IDI 18MARZO'!B:D,3,0)</f>
        <v>147.09</v>
      </c>
      <c r="E13" s="42"/>
      <c r="F13" s="43"/>
      <c r="G13" s="44"/>
      <c r="H13" s="54"/>
      <c r="I13" s="55"/>
      <c r="J13" s="55"/>
      <c r="K13" s="55"/>
      <c r="L13" s="56"/>
      <c r="M13" s="13">
        <f>+C6/D13</f>
        <v>6798558.705554422</v>
      </c>
      <c r="N13" s="13">
        <f>C6</f>
        <v>1000000000</v>
      </c>
      <c r="O13" s="72"/>
      <c r="R13" s="13">
        <f>VLOOKUP(A13,'IDI 18MARZO'!B:D,3,0)</f>
        <v>147.09</v>
      </c>
    </row>
    <row r="14" spans="1:19" customFormat="1" x14ac:dyDescent="0.25">
      <c r="A14" s="88">
        <v>43787</v>
      </c>
      <c r="B14" s="84">
        <v>20</v>
      </c>
      <c r="C14" s="73">
        <f>+C4/360</f>
        <v>1.6666666666666666E-2</v>
      </c>
      <c r="D14" s="13">
        <f>IF(R14&gt;$D$13,R14,$D$13)</f>
        <v>147.09</v>
      </c>
      <c r="E14" s="45">
        <f>+M13*C14/100</f>
        <v>1133.0931175924036</v>
      </c>
      <c r="F14" s="82"/>
      <c r="G14" s="47">
        <f t="shared" ref="G14:G77" si="0">+E14+F14</f>
        <v>1133.0931175924036</v>
      </c>
      <c r="H14" s="57">
        <f>+E14*D14</f>
        <v>166666.66666666666</v>
      </c>
      <c r="I14" s="58"/>
      <c r="J14" s="58">
        <f>+F14*D14-I14</f>
        <v>0</v>
      </c>
      <c r="K14" s="58">
        <f>+F14*D14</f>
        <v>0</v>
      </c>
      <c r="L14" s="59">
        <f t="shared" ref="L14:L77" si="1">+H14+K14</f>
        <v>166666.66666666666</v>
      </c>
      <c r="M14" s="13">
        <f>+M13-F14</f>
        <v>6798558.705554422</v>
      </c>
      <c r="N14" s="13">
        <f>+M14*D14</f>
        <v>1000000000</v>
      </c>
      <c r="O14" s="72">
        <f>+N14-N13</f>
        <v>0</v>
      </c>
      <c r="P14" s="13">
        <v>166666.66666666666</v>
      </c>
      <c r="Q14" s="72">
        <f>H14-P14</f>
        <v>0</v>
      </c>
      <c r="R14" s="13">
        <f>VLOOKUP(A14,'IDI 18MARZO'!B:D,3,0)</f>
        <v>143.65</v>
      </c>
      <c r="S14" s="72">
        <f>R14-R13</f>
        <v>-3.4399999999999977</v>
      </c>
    </row>
    <row r="15" spans="1:19" customFormat="1" x14ac:dyDescent="0.25">
      <c r="A15" s="88">
        <v>43788</v>
      </c>
      <c r="B15" s="84">
        <v>20</v>
      </c>
      <c r="C15" s="73">
        <f t="shared" ref="C15:C78" si="2">+C14</f>
        <v>1.6666666666666666E-2</v>
      </c>
      <c r="D15" s="13">
        <f t="shared" ref="D15:D78" si="3">IF(R15&gt;$D$13,R15,$D$13)</f>
        <v>147.09</v>
      </c>
      <c r="E15" s="45">
        <f>+M14*C15/100</f>
        <v>1133.0931175924036</v>
      </c>
      <c r="F15" s="82"/>
      <c r="G15" s="47">
        <f t="shared" si="0"/>
        <v>1133.0931175924036</v>
      </c>
      <c r="H15" s="57">
        <f t="shared" ref="H15:H24" si="4">+E15*D15</f>
        <v>166666.66666666666</v>
      </c>
      <c r="I15" s="58"/>
      <c r="J15" s="58">
        <f t="shared" ref="J15:J78" si="5">+F15*D15-I15</f>
        <v>0</v>
      </c>
      <c r="K15" s="58">
        <f t="shared" ref="K15:K78" si="6">+F15*D15</f>
        <v>0</v>
      </c>
      <c r="L15" s="59">
        <f t="shared" si="1"/>
        <v>166666.66666666666</v>
      </c>
      <c r="M15" s="13">
        <f>+M14-F15</f>
        <v>6798558.705554422</v>
      </c>
      <c r="N15" s="13">
        <f t="shared" ref="N15:N78" si="7">+M15*D15</f>
        <v>1000000000</v>
      </c>
      <c r="O15" s="72">
        <f t="shared" ref="O15:O78" si="8">+N15-N14</f>
        <v>0</v>
      </c>
      <c r="P15" s="13">
        <v>166666.66666666666</v>
      </c>
      <c r="Q15" s="72">
        <f t="shared" ref="Q15:Q78" si="9">H15-P15</f>
        <v>0</v>
      </c>
      <c r="R15" s="13">
        <f>VLOOKUP(A15,'IDI 18MARZO'!B:D,3,0)</f>
        <v>141.56</v>
      </c>
      <c r="S15" s="72">
        <f t="shared" ref="S15:S78" si="10">R15-R14</f>
        <v>-2.0900000000000034</v>
      </c>
    </row>
    <row r="16" spans="1:19" customFormat="1" x14ac:dyDescent="0.25">
      <c r="A16" s="88">
        <v>43789</v>
      </c>
      <c r="B16" s="84">
        <v>20</v>
      </c>
      <c r="C16" s="73">
        <f t="shared" si="2"/>
        <v>1.6666666666666666E-2</v>
      </c>
      <c r="D16" s="13">
        <f t="shared" si="3"/>
        <v>148.80000000000001</v>
      </c>
      <c r="E16" s="45">
        <f t="shared" ref="E16:E79" si="11">+M15*C16/100</f>
        <v>1133.0931175924036</v>
      </c>
      <c r="F16" s="82"/>
      <c r="G16" s="47">
        <f t="shared" si="0"/>
        <v>1133.0931175924036</v>
      </c>
      <c r="H16" s="57">
        <f t="shared" si="4"/>
        <v>168604.25589774968</v>
      </c>
      <c r="I16" s="58"/>
      <c r="J16" s="58">
        <f t="shared" si="5"/>
        <v>0</v>
      </c>
      <c r="K16" s="58">
        <f t="shared" si="6"/>
        <v>0</v>
      </c>
      <c r="L16" s="59">
        <f t="shared" si="1"/>
        <v>168604.25589774968</v>
      </c>
      <c r="M16" s="13">
        <f t="shared" ref="M16:M79" si="12">+M15-F16</f>
        <v>6798558.705554422</v>
      </c>
      <c r="N16" s="13">
        <f t="shared" si="7"/>
        <v>1011625535.3864981</v>
      </c>
      <c r="O16" s="72">
        <f t="shared" si="8"/>
        <v>11625535.386498094</v>
      </c>
      <c r="P16" s="13">
        <v>166666.66666666666</v>
      </c>
      <c r="Q16" s="72">
        <f t="shared" si="9"/>
        <v>1937.5892310830241</v>
      </c>
      <c r="R16" s="13">
        <f>VLOOKUP(A16,'IDI 18MARZO'!B:D,3,0)</f>
        <v>148.80000000000001</v>
      </c>
      <c r="S16" s="72">
        <f t="shared" si="10"/>
        <v>7.2400000000000091</v>
      </c>
    </row>
    <row r="17" spans="1:19" customFormat="1" x14ac:dyDescent="0.25">
      <c r="A17" s="88">
        <v>43790</v>
      </c>
      <c r="B17" s="84">
        <v>20</v>
      </c>
      <c r="C17" s="73">
        <f t="shared" si="2"/>
        <v>1.6666666666666666E-2</v>
      </c>
      <c r="D17" s="13">
        <f t="shared" si="3"/>
        <v>156.91999999999999</v>
      </c>
      <c r="E17" s="45">
        <f t="shared" si="11"/>
        <v>1133.0931175924036</v>
      </c>
      <c r="F17" s="82"/>
      <c r="G17" s="47">
        <f t="shared" si="0"/>
        <v>1133.0931175924036</v>
      </c>
      <c r="H17" s="57">
        <f t="shared" si="4"/>
        <v>177804.97201259996</v>
      </c>
      <c r="I17" s="58"/>
      <c r="J17" s="58">
        <f t="shared" si="5"/>
        <v>0</v>
      </c>
      <c r="K17" s="58">
        <f t="shared" si="6"/>
        <v>0</v>
      </c>
      <c r="L17" s="59">
        <f t="shared" si="1"/>
        <v>177804.97201259996</v>
      </c>
      <c r="M17" s="13">
        <f t="shared" si="12"/>
        <v>6798558.705554422</v>
      </c>
      <c r="N17" s="13">
        <f t="shared" si="7"/>
        <v>1066829832.0755998</v>
      </c>
      <c r="O17" s="72">
        <f t="shared" si="8"/>
        <v>55204296.689101696</v>
      </c>
      <c r="P17" s="13">
        <v>166666.66666666666</v>
      </c>
      <c r="Q17" s="72">
        <f t="shared" si="9"/>
        <v>11138.305345933302</v>
      </c>
      <c r="R17" s="13">
        <f>VLOOKUP(A17,'IDI 18MARZO'!B:D,3,0)</f>
        <v>156.91999999999999</v>
      </c>
      <c r="S17" s="72">
        <f t="shared" si="10"/>
        <v>8.1199999999999761</v>
      </c>
    </row>
    <row r="18" spans="1:19" customFormat="1" x14ac:dyDescent="0.25">
      <c r="A18" s="88">
        <v>43791</v>
      </c>
      <c r="B18" s="84">
        <v>15</v>
      </c>
      <c r="C18" s="73">
        <f t="shared" si="2"/>
        <v>1.6666666666666666E-2</v>
      </c>
      <c r="D18" s="13">
        <f t="shared" si="3"/>
        <v>157.38</v>
      </c>
      <c r="E18" s="45">
        <f t="shared" si="11"/>
        <v>1133.0931175924036</v>
      </c>
      <c r="F18" s="82"/>
      <c r="G18" s="47">
        <f t="shared" si="0"/>
        <v>1133.0931175924036</v>
      </c>
      <c r="H18" s="57">
        <f t="shared" si="4"/>
        <v>178326.19484669247</v>
      </c>
      <c r="I18" s="58"/>
      <c r="J18" s="58">
        <f t="shared" si="5"/>
        <v>0</v>
      </c>
      <c r="K18" s="58">
        <f t="shared" si="6"/>
        <v>0</v>
      </c>
      <c r="L18" s="59">
        <f t="shared" si="1"/>
        <v>178326.19484669247</v>
      </c>
      <c r="M18" s="13">
        <f t="shared" si="12"/>
        <v>6798558.705554422</v>
      </c>
      <c r="N18" s="13">
        <f t="shared" si="7"/>
        <v>1069957169.0801549</v>
      </c>
      <c r="O18" s="72">
        <f t="shared" si="8"/>
        <v>3127337.0045551062</v>
      </c>
      <c r="P18" s="13">
        <v>166666.66666666666</v>
      </c>
      <c r="Q18" s="72">
        <f t="shared" si="9"/>
        <v>11659.528180025809</v>
      </c>
      <c r="R18" s="13">
        <f>VLOOKUP(A18,'IDI 18MARZO'!B:D,3,0)</f>
        <v>157.38</v>
      </c>
      <c r="S18" s="72">
        <f t="shared" si="10"/>
        <v>0.46000000000000796</v>
      </c>
    </row>
    <row r="19" spans="1:19" customFormat="1" x14ac:dyDescent="0.25">
      <c r="A19" s="88">
        <v>43792</v>
      </c>
      <c r="B19" s="84">
        <v>15</v>
      </c>
      <c r="C19" s="73">
        <f t="shared" si="2"/>
        <v>1.6666666666666666E-2</v>
      </c>
      <c r="D19" s="13">
        <f t="shared" si="3"/>
        <v>157.38</v>
      </c>
      <c r="E19" s="45">
        <f t="shared" si="11"/>
        <v>1133.0931175924036</v>
      </c>
      <c r="F19" s="82"/>
      <c r="G19" s="47">
        <f t="shared" si="0"/>
        <v>1133.0931175924036</v>
      </c>
      <c r="H19" s="57">
        <f t="shared" si="4"/>
        <v>178326.19484669247</v>
      </c>
      <c r="I19" s="58"/>
      <c r="J19" s="58">
        <f t="shared" si="5"/>
        <v>0</v>
      </c>
      <c r="K19" s="58">
        <f t="shared" si="6"/>
        <v>0</v>
      </c>
      <c r="L19" s="59">
        <f t="shared" si="1"/>
        <v>178326.19484669247</v>
      </c>
      <c r="M19" s="13">
        <f t="shared" si="12"/>
        <v>6798558.705554422</v>
      </c>
      <c r="N19" s="13">
        <f t="shared" si="7"/>
        <v>1069957169.0801549</v>
      </c>
      <c r="O19" s="72">
        <f t="shared" si="8"/>
        <v>0</v>
      </c>
      <c r="P19" s="13">
        <v>166666.66666666666</v>
      </c>
      <c r="Q19" s="72">
        <f t="shared" si="9"/>
        <v>11659.528180025809</v>
      </c>
      <c r="R19" s="13">
        <f>VLOOKUP(A19,'IDI 18MARZO'!B:D,3,0)</f>
        <v>157.38</v>
      </c>
      <c r="S19" s="72">
        <f t="shared" si="10"/>
        <v>0</v>
      </c>
    </row>
    <row r="20" spans="1:19" customFormat="1" x14ac:dyDescent="0.25">
      <c r="A20" s="88">
        <v>43793</v>
      </c>
      <c r="B20" s="84">
        <v>15</v>
      </c>
      <c r="C20" s="73">
        <f t="shared" si="2"/>
        <v>1.6666666666666666E-2</v>
      </c>
      <c r="D20" s="13">
        <f t="shared" si="3"/>
        <v>157.38</v>
      </c>
      <c r="E20" s="45">
        <f t="shared" si="11"/>
        <v>1133.0931175924036</v>
      </c>
      <c r="F20" s="82"/>
      <c r="G20" s="47">
        <f t="shared" si="0"/>
        <v>1133.0931175924036</v>
      </c>
      <c r="H20" s="57">
        <f t="shared" si="4"/>
        <v>178326.19484669247</v>
      </c>
      <c r="I20" s="58"/>
      <c r="J20" s="58">
        <f t="shared" si="5"/>
        <v>0</v>
      </c>
      <c r="K20" s="58">
        <f t="shared" si="6"/>
        <v>0</v>
      </c>
      <c r="L20" s="59">
        <f t="shared" si="1"/>
        <v>178326.19484669247</v>
      </c>
      <c r="M20" s="13">
        <f t="shared" si="12"/>
        <v>6798558.705554422</v>
      </c>
      <c r="N20" s="13">
        <f t="shared" si="7"/>
        <v>1069957169.0801549</v>
      </c>
      <c r="O20" s="72">
        <f t="shared" si="8"/>
        <v>0</v>
      </c>
      <c r="P20" s="13">
        <v>166666.66666666666</v>
      </c>
      <c r="Q20" s="72">
        <f t="shared" si="9"/>
        <v>11659.528180025809</v>
      </c>
      <c r="R20" s="13">
        <f>VLOOKUP(A20,'IDI 18MARZO'!B:D,3,0)</f>
        <v>157.38</v>
      </c>
      <c r="S20" s="72">
        <f t="shared" si="10"/>
        <v>0</v>
      </c>
    </row>
    <row r="21" spans="1:19" customFormat="1" x14ac:dyDescent="0.25">
      <c r="A21" s="88">
        <v>43794</v>
      </c>
      <c r="B21" s="84">
        <v>15</v>
      </c>
      <c r="C21" s="73">
        <f t="shared" si="2"/>
        <v>1.6666666666666666E-2</v>
      </c>
      <c r="D21" s="13">
        <f t="shared" si="3"/>
        <v>159.57</v>
      </c>
      <c r="E21" s="45">
        <f t="shared" si="11"/>
        <v>1133.0931175924036</v>
      </c>
      <c r="F21" s="82"/>
      <c r="G21" s="47">
        <f t="shared" si="0"/>
        <v>1133.0931175924036</v>
      </c>
      <c r="H21" s="57">
        <f t="shared" si="4"/>
        <v>180807.66877421984</v>
      </c>
      <c r="I21" s="58"/>
      <c r="J21" s="58">
        <f t="shared" si="5"/>
        <v>0</v>
      </c>
      <c r="K21" s="58">
        <f t="shared" si="6"/>
        <v>0</v>
      </c>
      <c r="L21" s="59">
        <f t="shared" si="1"/>
        <v>180807.66877421984</v>
      </c>
      <c r="M21" s="13">
        <f t="shared" si="12"/>
        <v>6798558.705554422</v>
      </c>
      <c r="N21" s="13">
        <f t="shared" si="7"/>
        <v>1084846012.645319</v>
      </c>
      <c r="O21" s="72">
        <f t="shared" si="8"/>
        <v>14888843.565164089</v>
      </c>
      <c r="P21" s="13">
        <v>166666.66666666666</v>
      </c>
      <c r="Q21" s="72">
        <f t="shared" si="9"/>
        <v>14141.002107553184</v>
      </c>
      <c r="R21" s="13">
        <f>VLOOKUP(A21,'IDI 18MARZO'!B:D,3,0)</f>
        <v>159.57</v>
      </c>
      <c r="S21" s="72">
        <f t="shared" si="10"/>
        <v>2.1899999999999977</v>
      </c>
    </row>
    <row r="22" spans="1:19" customFormat="1" x14ac:dyDescent="0.25">
      <c r="A22" s="88">
        <v>43795</v>
      </c>
      <c r="B22" s="84">
        <v>10</v>
      </c>
      <c r="C22" s="73">
        <f t="shared" si="2"/>
        <v>1.6666666666666666E-2</v>
      </c>
      <c r="D22" s="13">
        <f t="shared" si="3"/>
        <v>163.15</v>
      </c>
      <c r="E22" s="45">
        <f t="shared" si="11"/>
        <v>1133.0931175924036</v>
      </c>
      <c r="F22" s="82"/>
      <c r="G22" s="47">
        <f t="shared" si="0"/>
        <v>1133.0931175924036</v>
      </c>
      <c r="H22" s="57">
        <f t="shared" si="4"/>
        <v>184864.14213520064</v>
      </c>
      <c r="I22" s="58"/>
      <c r="J22" s="58">
        <f t="shared" si="5"/>
        <v>0</v>
      </c>
      <c r="K22" s="58">
        <f t="shared" si="6"/>
        <v>0</v>
      </c>
      <c r="L22" s="59">
        <f t="shared" si="1"/>
        <v>184864.14213520064</v>
      </c>
      <c r="M22" s="13">
        <f t="shared" si="12"/>
        <v>6798558.705554422</v>
      </c>
      <c r="N22" s="13">
        <f t="shared" si="7"/>
        <v>1109184852.811204</v>
      </c>
      <c r="O22" s="72">
        <f t="shared" si="8"/>
        <v>24338840.165884972</v>
      </c>
      <c r="P22" s="13">
        <v>166666.66666666666</v>
      </c>
      <c r="Q22" s="72">
        <f t="shared" si="9"/>
        <v>18197.475468533987</v>
      </c>
      <c r="R22" s="13">
        <f>VLOOKUP(A22,'IDI 18MARZO'!B:D,3,0)</f>
        <v>163.15</v>
      </c>
      <c r="S22" s="72">
        <f t="shared" si="10"/>
        <v>3.5800000000000125</v>
      </c>
    </row>
    <row r="23" spans="1:19" customFormat="1" x14ac:dyDescent="0.25">
      <c r="A23" s="88">
        <v>43796</v>
      </c>
      <c r="B23" s="84">
        <v>10</v>
      </c>
      <c r="C23" s="73">
        <f t="shared" si="2"/>
        <v>1.6666666666666666E-2</v>
      </c>
      <c r="D23" s="13">
        <f t="shared" si="3"/>
        <v>173.41</v>
      </c>
      <c r="E23" s="45">
        <f t="shared" si="11"/>
        <v>1133.0931175924036</v>
      </c>
      <c r="F23" s="82"/>
      <c r="G23" s="47">
        <f t="shared" si="0"/>
        <v>1133.0931175924036</v>
      </c>
      <c r="H23" s="57">
        <f t="shared" si="4"/>
        <v>196489.6775216987</v>
      </c>
      <c r="I23" s="58"/>
      <c r="J23" s="58">
        <f t="shared" si="5"/>
        <v>0</v>
      </c>
      <c r="K23" s="58">
        <f t="shared" si="6"/>
        <v>0</v>
      </c>
      <c r="L23" s="59">
        <f t="shared" si="1"/>
        <v>196489.6775216987</v>
      </c>
      <c r="M23" s="13">
        <f t="shared" si="12"/>
        <v>6798558.705554422</v>
      </c>
      <c r="N23" s="13">
        <f t="shared" si="7"/>
        <v>1178938065.1301923</v>
      </c>
      <c r="O23" s="72">
        <f t="shared" si="8"/>
        <v>69753212.318988323</v>
      </c>
      <c r="P23" s="13">
        <v>166666.66666666666</v>
      </c>
      <c r="Q23" s="72">
        <f t="shared" si="9"/>
        <v>29823.010855032044</v>
      </c>
      <c r="R23" s="13">
        <f>VLOOKUP(A23,'IDI 18MARZO'!B:D,3,0)</f>
        <v>173.41</v>
      </c>
      <c r="S23" s="72">
        <f t="shared" si="10"/>
        <v>10.259999999999991</v>
      </c>
    </row>
    <row r="24" spans="1:19" customFormat="1" x14ac:dyDescent="0.25">
      <c r="A24" s="88">
        <v>43797</v>
      </c>
      <c r="B24" s="84">
        <v>10</v>
      </c>
      <c r="C24" s="73">
        <f t="shared" si="2"/>
        <v>1.6666666666666666E-2</v>
      </c>
      <c r="D24" s="13">
        <f t="shared" si="3"/>
        <v>179.59</v>
      </c>
      <c r="E24" s="45">
        <f t="shared" si="11"/>
        <v>1133.0931175924036</v>
      </c>
      <c r="F24" s="82"/>
      <c r="G24" s="47">
        <f t="shared" si="0"/>
        <v>1133.0931175924036</v>
      </c>
      <c r="H24" s="57">
        <f t="shared" si="4"/>
        <v>203492.19298841976</v>
      </c>
      <c r="I24" s="58"/>
      <c r="J24" s="58">
        <f t="shared" si="5"/>
        <v>0</v>
      </c>
      <c r="K24" s="58">
        <f t="shared" si="6"/>
        <v>0</v>
      </c>
      <c r="L24" s="59">
        <f t="shared" si="1"/>
        <v>203492.19298841976</v>
      </c>
      <c r="M24" s="13">
        <f t="shared" si="12"/>
        <v>6798558.705554422</v>
      </c>
      <c r="N24" s="13">
        <f t="shared" si="7"/>
        <v>1220953157.9305186</v>
      </c>
      <c r="O24" s="72">
        <f t="shared" si="8"/>
        <v>42015092.800326347</v>
      </c>
      <c r="P24" s="13">
        <v>166666.66666666666</v>
      </c>
      <c r="Q24" s="72">
        <f t="shared" si="9"/>
        <v>36825.526321753103</v>
      </c>
      <c r="R24" s="13">
        <f>VLOOKUP(A24,'IDI 18MARZO'!B:D,3,0)</f>
        <v>179.59</v>
      </c>
      <c r="S24" s="72">
        <f t="shared" si="10"/>
        <v>6.1800000000000068</v>
      </c>
    </row>
    <row r="25" spans="1:19" customFormat="1" x14ac:dyDescent="0.25">
      <c r="A25" s="88">
        <v>43798</v>
      </c>
      <c r="B25" s="84">
        <v>10</v>
      </c>
      <c r="C25" s="73">
        <f t="shared" si="2"/>
        <v>1.6666666666666666E-2</v>
      </c>
      <c r="D25" s="13">
        <f t="shared" si="3"/>
        <v>186.78</v>
      </c>
      <c r="E25" s="45">
        <f t="shared" si="11"/>
        <v>1133.0931175924036</v>
      </c>
      <c r="F25" s="82"/>
      <c r="G25" s="47">
        <f t="shared" si="0"/>
        <v>1133.0931175924036</v>
      </c>
      <c r="H25" s="57">
        <f>+E25*D25</f>
        <v>211639.13250390915</v>
      </c>
      <c r="I25" s="58"/>
      <c r="J25" s="58">
        <f t="shared" si="5"/>
        <v>0</v>
      </c>
      <c r="K25" s="58">
        <f t="shared" si="6"/>
        <v>0</v>
      </c>
      <c r="L25" s="59">
        <f t="shared" si="1"/>
        <v>211639.13250390915</v>
      </c>
      <c r="M25" s="13">
        <f t="shared" si="12"/>
        <v>6798558.705554422</v>
      </c>
      <c r="N25" s="13">
        <f t="shared" si="7"/>
        <v>1269834795.0234549</v>
      </c>
      <c r="O25" s="72">
        <f t="shared" si="8"/>
        <v>48881637.092936277</v>
      </c>
      <c r="P25" s="13">
        <v>166666.66666666666</v>
      </c>
      <c r="Q25" s="72">
        <f t="shared" si="9"/>
        <v>44972.465837242489</v>
      </c>
      <c r="R25" s="13">
        <f>VLOOKUP(A25,'IDI 18MARZO'!B:D,3,0)</f>
        <v>186.78</v>
      </c>
      <c r="S25" s="72">
        <f t="shared" si="10"/>
        <v>7.1899999999999977</v>
      </c>
    </row>
    <row r="26" spans="1:19" customFormat="1" x14ac:dyDescent="0.25">
      <c r="A26" s="88">
        <v>43799</v>
      </c>
      <c r="B26" s="84">
        <v>10</v>
      </c>
      <c r="C26" s="73">
        <f t="shared" si="2"/>
        <v>1.6666666666666666E-2</v>
      </c>
      <c r="D26" s="13">
        <f t="shared" si="3"/>
        <v>186.78</v>
      </c>
      <c r="E26" s="45">
        <f t="shared" si="11"/>
        <v>1133.0931175924036</v>
      </c>
      <c r="F26" s="82"/>
      <c r="G26" s="47">
        <f t="shared" si="0"/>
        <v>1133.0931175924036</v>
      </c>
      <c r="H26" s="57">
        <f t="shared" ref="H26:H89" si="13">+E26*D26</f>
        <v>211639.13250390915</v>
      </c>
      <c r="I26" s="58"/>
      <c r="J26" s="58">
        <f t="shared" si="5"/>
        <v>0</v>
      </c>
      <c r="K26" s="58">
        <f t="shared" si="6"/>
        <v>0</v>
      </c>
      <c r="L26" s="59">
        <f t="shared" si="1"/>
        <v>211639.13250390915</v>
      </c>
      <c r="M26" s="13">
        <f t="shared" si="12"/>
        <v>6798558.705554422</v>
      </c>
      <c r="N26" s="13">
        <f t="shared" si="7"/>
        <v>1269834795.0234549</v>
      </c>
      <c r="O26" s="72">
        <f t="shared" si="8"/>
        <v>0</v>
      </c>
      <c r="P26" s="13">
        <v>166666.66666666666</v>
      </c>
      <c r="Q26" s="72">
        <f t="shared" si="9"/>
        <v>44972.465837242489</v>
      </c>
      <c r="R26" s="13">
        <f>VLOOKUP(A26,'IDI 18MARZO'!B:D,3,0)</f>
        <v>186.78</v>
      </c>
      <c r="S26" s="72">
        <f t="shared" si="10"/>
        <v>0</v>
      </c>
    </row>
    <row r="27" spans="1:19" customFormat="1" x14ac:dyDescent="0.25">
      <c r="A27" s="88">
        <v>43800</v>
      </c>
      <c r="B27" s="84">
        <v>10</v>
      </c>
      <c r="C27" s="73">
        <f t="shared" si="2"/>
        <v>1.6666666666666666E-2</v>
      </c>
      <c r="D27" s="13">
        <f t="shared" si="3"/>
        <v>186.78</v>
      </c>
      <c r="E27" s="45">
        <f t="shared" si="11"/>
        <v>1133.0931175924036</v>
      </c>
      <c r="F27" s="82"/>
      <c r="G27" s="47">
        <f t="shared" si="0"/>
        <v>1133.0931175924036</v>
      </c>
      <c r="H27" s="57">
        <f t="shared" si="13"/>
        <v>211639.13250390915</v>
      </c>
      <c r="I27" s="58"/>
      <c r="J27" s="58">
        <f t="shared" si="5"/>
        <v>0</v>
      </c>
      <c r="K27" s="58">
        <f t="shared" si="6"/>
        <v>0</v>
      </c>
      <c r="L27" s="59">
        <f t="shared" si="1"/>
        <v>211639.13250390915</v>
      </c>
      <c r="M27" s="13">
        <f t="shared" si="12"/>
        <v>6798558.705554422</v>
      </c>
      <c r="N27" s="13">
        <f t="shared" si="7"/>
        <v>1269834795.0234549</v>
      </c>
      <c r="O27" s="72">
        <f t="shared" si="8"/>
        <v>0</v>
      </c>
      <c r="P27" s="13">
        <v>166666.66666666666</v>
      </c>
      <c r="Q27" s="72">
        <f t="shared" si="9"/>
        <v>44972.465837242489</v>
      </c>
      <c r="R27" s="13">
        <f>VLOOKUP(A27,'IDI 18MARZO'!B:D,3,0)</f>
        <v>186.78</v>
      </c>
      <c r="S27" s="72">
        <f t="shared" si="10"/>
        <v>0</v>
      </c>
    </row>
    <row r="28" spans="1:19" customFormat="1" x14ac:dyDescent="0.25">
      <c r="A28" s="88">
        <v>43801</v>
      </c>
      <c r="B28" s="84">
        <v>10</v>
      </c>
      <c r="C28" s="73">
        <f t="shared" si="2"/>
        <v>1.6666666666666666E-2</v>
      </c>
      <c r="D28" s="13">
        <f t="shared" si="3"/>
        <v>190.58</v>
      </c>
      <c r="E28" s="45">
        <f t="shared" si="11"/>
        <v>1133.0931175924036</v>
      </c>
      <c r="F28" s="82"/>
      <c r="G28" s="47">
        <f t="shared" si="0"/>
        <v>1133.0931175924036</v>
      </c>
      <c r="H28" s="57">
        <f t="shared" si="13"/>
        <v>215944.88635076029</v>
      </c>
      <c r="I28" s="58"/>
      <c r="J28" s="58">
        <f t="shared" si="5"/>
        <v>0</v>
      </c>
      <c r="K28" s="58">
        <f t="shared" si="6"/>
        <v>0</v>
      </c>
      <c r="L28" s="59">
        <f t="shared" si="1"/>
        <v>215944.88635076029</v>
      </c>
      <c r="M28" s="13">
        <f t="shared" si="12"/>
        <v>6798558.705554422</v>
      </c>
      <c r="N28" s="13">
        <f t="shared" si="7"/>
        <v>1295669318.1045618</v>
      </c>
      <c r="O28" s="72">
        <f t="shared" si="8"/>
        <v>25834523.081106901</v>
      </c>
      <c r="P28" s="13">
        <v>166666.66666666666</v>
      </c>
      <c r="Q28" s="72">
        <f t="shared" si="9"/>
        <v>49278.219684093638</v>
      </c>
      <c r="R28" s="13">
        <f>VLOOKUP(A28,'IDI 18MARZO'!B:D,3,0)</f>
        <v>190.58</v>
      </c>
      <c r="S28" s="72">
        <f t="shared" si="10"/>
        <v>3.8000000000000114</v>
      </c>
    </row>
    <row r="29" spans="1:19" customFormat="1" x14ac:dyDescent="0.25">
      <c r="A29" s="88">
        <v>43802</v>
      </c>
      <c r="B29" s="84">
        <v>10</v>
      </c>
      <c r="C29" s="73">
        <f t="shared" si="2"/>
        <v>1.6666666666666666E-2</v>
      </c>
      <c r="D29" s="13">
        <f t="shared" si="3"/>
        <v>183.85</v>
      </c>
      <c r="E29" s="45">
        <f t="shared" si="11"/>
        <v>1133.0931175924036</v>
      </c>
      <c r="F29" s="82"/>
      <c r="G29" s="47">
        <f t="shared" si="0"/>
        <v>1133.0931175924036</v>
      </c>
      <c r="H29" s="57">
        <f t="shared" si="13"/>
        <v>208319.16966936339</v>
      </c>
      <c r="I29" s="58"/>
      <c r="J29" s="58">
        <f t="shared" si="5"/>
        <v>0</v>
      </c>
      <c r="K29" s="58">
        <f t="shared" si="6"/>
        <v>0</v>
      </c>
      <c r="L29" s="59">
        <f t="shared" si="1"/>
        <v>208319.16966936339</v>
      </c>
      <c r="M29" s="13">
        <f t="shared" si="12"/>
        <v>6798558.705554422</v>
      </c>
      <c r="N29" s="13">
        <f t="shared" si="7"/>
        <v>1249915018.0161805</v>
      </c>
      <c r="O29" s="72">
        <f t="shared" si="8"/>
        <v>-45754300.08838129</v>
      </c>
      <c r="P29" s="13">
        <v>166666.66666666666</v>
      </c>
      <c r="Q29" s="72">
        <f t="shared" si="9"/>
        <v>41652.503002696729</v>
      </c>
      <c r="R29" s="13">
        <f>VLOOKUP(A29,'IDI 18MARZO'!B:D,3,0)</f>
        <v>183.85</v>
      </c>
      <c r="S29" s="72">
        <f t="shared" si="10"/>
        <v>-6.7300000000000182</v>
      </c>
    </row>
    <row r="30" spans="1:19" customFormat="1" x14ac:dyDescent="0.25">
      <c r="A30" s="88">
        <v>43803</v>
      </c>
      <c r="B30" s="84">
        <v>10</v>
      </c>
      <c r="C30" s="73">
        <f t="shared" si="2"/>
        <v>1.6666666666666666E-2</v>
      </c>
      <c r="D30" s="13">
        <f t="shared" si="3"/>
        <v>188.01</v>
      </c>
      <c r="E30" s="45">
        <f t="shared" si="11"/>
        <v>1133.0931175924036</v>
      </c>
      <c r="F30" s="82"/>
      <c r="G30" s="47">
        <f t="shared" si="0"/>
        <v>1133.0931175924036</v>
      </c>
      <c r="H30" s="57">
        <f t="shared" si="13"/>
        <v>213032.83703854779</v>
      </c>
      <c r="I30" s="58"/>
      <c r="J30" s="58">
        <f t="shared" si="5"/>
        <v>0</v>
      </c>
      <c r="K30" s="58">
        <f t="shared" si="6"/>
        <v>0</v>
      </c>
      <c r="L30" s="59">
        <f t="shared" si="1"/>
        <v>213032.83703854779</v>
      </c>
      <c r="M30" s="13">
        <f t="shared" si="12"/>
        <v>6798558.705554422</v>
      </c>
      <c r="N30" s="13">
        <f t="shared" si="7"/>
        <v>1278197022.2312868</v>
      </c>
      <c r="O30" s="72">
        <f t="shared" si="8"/>
        <v>28282004.215106249</v>
      </c>
      <c r="P30" s="13">
        <v>166666.66666666666</v>
      </c>
      <c r="Q30" s="72">
        <f t="shared" si="9"/>
        <v>46366.170371881133</v>
      </c>
      <c r="R30" s="13">
        <f>VLOOKUP(A30,'IDI 18MARZO'!B:D,3,0)</f>
        <v>188.01</v>
      </c>
      <c r="S30" s="72">
        <f t="shared" si="10"/>
        <v>4.1599999999999966</v>
      </c>
    </row>
    <row r="31" spans="1:19" customFormat="1" x14ac:dyDescent="0.25">
      <c r="A31" s="88">
        <v>43804</v>
      </c>
      <c r="B31" s="84">
        <v>10</v>
      </c>
      <c r="C31" s="73">
        <f t="shared" si="2"/>
        <v>1.6666666666666666E-2</v>
      </c>
      <c r="D31" s="13">
        <f t="shared" si="3"/>
        <v>195.3</v>
      </c>
      <c r="E31" s="45">
        <f t="shared" si="11"/>
        <v>1133.0931175924036</v>
      </c>
      <c r="F31" s="82"/>
      <c r="G31" s="47">
        <f t="shared" si="0"/>
        <v>1133.0931175924036</v>
      </c>
      <c r="H31" s="57">
        <f t="shared" si="13"/>
        <v>221293.08586579643</v>
      </c>
      <c r="I31" s="58"/>
      <c r="J31" s="58">
        <f t="shared" si="5"/>
        <v>0</v>
      </c>
      <c r="K31" s="58">
        <f t="shared" si="6"/>
        <v>0</v>
      </c>
      <c r="L31" s="59">
        <f t="shared" si="1"/>
        <v>221293.08586579643</v>
      </c>
      <c r="M31" s="13">
        <f t="shared" si="12"/>
        <v>6798558.705554422</v>
      </c>
      <c r="N31" s="13">
        <f t="shared" si="7"/>
        <v>1327758515.1947787</v>
      </c>
      <c r="O31" s="72">
        <f t="shared" si="8"/>
        <v>49561492.963491917</v>
      </c>
      <c r="P31" s="13">
        <v>166666.66666666666</v>
      </c>
      <c r="Q31" s="72">
        <f t="shared" si="9"/>
        <v>54626.41919912977</v>
      </c>
      <c r="R31" s="13">
        <f>VLOOKUP(A31,'IDI 18MARZO'!B:D,3,0)</f>
        <v>195.3</v>
      </c>
      <c r="S31" s="72">
        <f t="shared" si="10"/>
        <v>7.2900000000000205</v>
      </c>
    </row>
    <row r="32" spans="1:19" customFormat="1" x14ac:dyDescent="0.25">
      <c r="A32" s="88">
        <v>43805</v>
      </c>
      <c r="B32" s="84">
        <v>10</v>
      </c>
      <c r="C32" s="73">
        <f t="shared" si="2"/>
        <v>1.6666666666666666E-2</v>
      </c>
      <c r="D32" s="13">
        <f t="shared" si="3"/>
        <v>203.75</v>
      </c>
      <c r="E32" s="45">
        <f t="shared" si="11"/>
        <v>1133.0931175924036</v>
      </c>
      <c r="F32" s="82"/>
      <c r="G32" s="47">
        <f t="shared" si="0"/>
        <v>1133.0931175924036</v>
      </c>
      <c r="H32" s="57">
        <f t="shared" si="13"/>
        <v>230867.72270945224</v>
      </c>
      <c r="I32" s="58"/>
      <c r="J32" s="58">
        <f t="shared" si="5"/>
        <v>0</v>
      </c>
      <c r="K32" s="58">
        <f t="shared" si="6"/>
        <v>0</v>
      </c>
      <c r="L32" s="59">
        <f t="shared" si="1"/>
        <v>230867.72270945224</v>
      </c>
      <c r="M32" s="13">
        <f t="shared" si="12"/>
        <v>6798558.705554422</v>
      </c>
      <c r="N32" s="13">
        <f t="shared" si="7"/>
        <v>1385206336.2567134</v>
      </c>
      <c r="O32" s="72">
        <f t="shared" si="8"/>
        <v>57447821.06193471</v>
      </c>
      <c r="P32" s="13">
        <v>166666.66666666666</v>
      </c>
      <c r="Q32" s="72">
        <f t="shared" si="9"/>
        <v>64201.056042785582</v>
      </c>
      <c r="R32" s="13">
        <f>VLOOKUP(A32,'IDI 18MARZO'!B:D,3,0)</f>
        <v>203.75</v>
      </c>
      <c r="S32" s="72">
        <f t="shared" si="10"/>
        <v>8.4499999999999886</v>
      </c>
    </row>
    <row r="33" spans="1:19" customFormat="1" x14ac:dyDescent="0.25">
      <c r="A33" s="88">
        <v>43806</v>
      </c>
      <c r="B33" s="84">
        <v>10</v>
      </c>
      <c r="C33" s="73">
        <f t="shared" si="2"/>
        <v>1.6666666666666666E-2</v>
      </c>
      <c r="D33" s="13">
        <f t="shared" si="3"/>
        <v>203.75</v>
      </c>
      <c r="E33" s="45">
        <f t="shared" si="11"/>
        <v>1133.0931175924036</v>
      </c>
      <c r="F33" s="82"/>
      <c r="G33" s="47">
        <f t="shared" si="0"/>
        <v>1133.0931175924036</v>
      </c>
      <c r="H33" s="57">
        <f t="shared" si="13"/>
        <v>230867.72270945224</v>
      </c>
      <c r="I33" s="58"/>
      <c r="J33" s="58">
        <f t="shared" si="5"/>
        <v>0</v>
      </c>
      <c r="K33" s="58">
        <f t="shared" si="6"/>
        <v>0</v>
      </c>
      <c r="L33" s="59">
        <f t="shared" si="1"/>
        <v>230867.72270945224</v>
      </c>
      <c r="M33" s="13">
        <f t="shared" si="12"/>
        <v>6798558.705554422</v>
      </c>
      <c r="N33" s="13">
        <f t="shared" si="7"/>
        <v>1385206336.2567134</v>
      </c>
      <c r="O33" s="72">
        <f t="shared" si="8"/>
        <v>0</v>
      </c>
      <c r="P33" s="13">
        <v>166666.66666666666</v>
      </c>
      <c r="Q33" s="72">
        <f t="shared" si="9"/>
        <v>64201.056042785582</v>
      </c>
      <c r="R33" s="13">
        <f>VLOOKUP(A33,'IDI 18MARZO'!B:D,3,0)</f>
        <v>203.75</v>
      </c>
      <c r="S33" s="72">
        <f t="shared" si="10"/>
        <v>0</v>
      </c>
    </row>
    <row r="34" spans="1:19" customFormat="1" x14ac:dyDescent="0.25">
      <c r="A34" s="88">
        <v>43807</v>
      </c>
      <c r="B34" s="84">
        <v>10</v>
      </c>
      <c r="C34" s="73">
        <f t="shared" si="2"/>
        <v>1.6666666666666666E-2</v>
      </c>
      <c r="D34" s="13">
        <f t="shared" si="3"/>
        <v>203.75</v>
      </c>
      <c r="E34" s="45">
        <f t="shared" si="11"/>
        <v>1133.0931175924036</v>
      </c>
      <c r="F34" s="82"/>
      <c r="G34" s="47">
        <f t="shared" si="0"/>
        <v>1133.0931175924036</v>
      </c>
      <c r="H34" s="57">
        <f t="shared" si="13"/>
        <v>230867.72270945224</v>
      </c>
      <c r="I34" s="58"/>
      <c r="J34" s="58">
        <f t="shared" si="5"/>
        <v>0</v>
      </c>
      <c r="K34" s="58">
        <f t="shared" si="6"/>
        <v>0</v>
      </c>
      <c r="L34" s="59">
        <f t="shared" si="1"/>
        <v>230867.72270945224</v>
      </c>
      <c r="M34" s="13">
        <f t="shared" si="12"/>
        <v>6798558.705554422</v>
      </c>
      <c r="N34" s="13">
        <f t="shared" si="7"/>
        <v>1385206336.2567134</v>
      </c>
      <c r="O34" s="72">
        <f t="shared" si="8"/>
        <v>0</v>
      </c>
      <c r="P34" s="13">
        <v>166666.66666666666</v>
      </c>
      <c r="Q34" s="72">
        <f t="shared" si="9"/>
        <v>64201.056042785582</v>
      </c>
      <c r="R34" s="13">
        <f>VLOOKUP(A34,'IDI 18MARZO'!B:D,3,0)</f>
        <v>203.75</v>
      </c>
      <c r="S34" s="72">
        <f t="shared" si="10"/>
        <v>0</v>
      </c>
    </row>
    <row r="35" spans="1:19" customFormat="1" x14ac:dyDescent="0.25">
      <c r="A35" s="88">
        <v>43808</v>
      </c>
      <c r="B35" s="84">
        <v>10</v>
      </c>
      <c r="C35" s="73">
        <f t="shared" si="2"/>
        <v>1.6666666666666666E-2</v>
      </c>
      <c r="D35" s="13">
        <f t="shared" si="3"/>
        <v>205.76</v>
      </c>
      <c r="E35" s="45">
        <f t="shared" si="11"/>
        <v>1133.0931175924036</v>
      </c>
      <c r="F35" s="82"/>
      <c r="G35" s="47">
        <f t="shared" si="0"/>
        <v>1133.0931175924036</v>
      </c>
      <c r="H35" s="57">
        <f t="shared" si="13"/>
        <v>233145.23987581296</v>
      </c>
      <c r="I35" s="58"/>
      <c r="J35" s="58">
        <f t="shared" si="5"/>
        <v>0</v>
      </c>
      <c r="K35" s="58">
        <f t="shared" si="6"/>
        <v>0</v>
      </c>
      <c r="L35" s="59">
        <f t="shared" si="1"/>
        <v>233145.23987581296</v>
      </c>
      <c r="M35" s="13">
        <f t="shared" si="12"/>
        <v>6798558.705554422</v>
      </c>
      <c r="N35" s="13">
        <f t="shared" si="7"/>
        <v>1398871439.2548778</v>
      </c>
      <c r="O35" s="72">
        <f t="shared" si="8"/>
        <v>13665102.998164415</v>
      </c>
      <c r="P35" s="13">
        <v>166666.66666666666</v>
      </c>
      <c r="Q35" s="72">
        <f t="shared" si="9"/>
        <v>66478.5732091463</v>
      </c>
      <c r="R35" s="13">
        <f>VLOOKUP(A35,'IDI 18MARZO'!B:D,3,0)</f>
        <v>205.76</v>
      </c>
      <c r="S35" s="72">
        <f t="shared" si="10"/>
        <v>2.0099999999999909</v>
      </c>
    </row>
    <row r="36" spans="1:19" customFormat="1" x14ac:dyDescent="0.25">
      <c r="A36" s="88">
        <v>43809</v>
      </c>
      <c r="B36" s="84">
        <v>10</v>
      </c>
      <c r="C36" s="73">
        <f t="shared" si="2"/>
        <v>1.6666666666666666E-2</v>
      </c>
      <c r="D36" s="13">
        <f t="shared" si="3"/>
        <v>213.41</v>
      </c>
      <c r="E36" s="45">
        <f t="shared" si="11"/>
        <v>1133.0931175924036</v>
      </c>
      <c r="F36" s="82"/>
      <c r="G36" s="47">
        <f t="shared" si="0"/>
        <v>1133.0931175924036</v>
      </c>
      <c r="H36" s="57">
        <f t="shared" si="13"/>
        <v>241813.40222539485</v>
      </c>
      <c r="I36" s="58"/>
      <c r="J36" s="58">
        <f t="shared" si="5"/>
        <v>0</v>
      </c>
      <c r="K36" s="58">
        <f t="shared" si="6"/>
        <v>0</v>
      </c>
      <c r="L36" s="59">
        <f t="shared" si="1"/>
        <v>241813.40222539485</v>
      </c>
      <c r="M36" s="13">
        <f t="shared" si="12"/>
        <v>6798558.705554422</v>
      </c>
      <c r="N36" s="13">
        <f t="shared" si="7"/>
        <v>1450880413.3523691</v>
      </c>
      <c r="O36" s="72">
        <f t="shared" si="8"/>
        <v>52008974.097491264</v>
      </c>
      <c r="P36" s="13">
        <v>166666.66666666666</v>
      </c>
      <c r="Q36" s="72">
        <f t="shared" si="9"/>
        <v>75146.735558728193</v>
      </c>
      <c r="R36" s="13">
        <f>VLOOKUP(A36,'IDI 18MARZO'!B:D,3,0)</f>
        <v>213.41</v>
      </c>
      <c r="S36" s="72">
        <f t="shared" si="10"/>
        <v>7.6500000000000057</v>
      </c>
    </row>
    <row r="37" spans="1:19" customFormat="1" x14ac:dyDescent="0.25">
      <c r="A37" s="88">
        <v>43810</v>
      </c>
      <c r="B37" s="84">
        <v>10</v>
      </c>
      <c r="C37" s="73">
        <f t="shared" si="2"/>
        <v>1.6666666666666666E-2</v>
      </c>
      <c r="D37" s="13">
        <f t="shared" si="3"/>
        <v>218.1</v>
      </c>
      <c r="E37" s="45">
        <f t="shared" si="11"/>
        <v>1133.0931175924036</v>
      </c>
      <c r="F37" s="82"/>
      <c r="G37" s="47">
        <f t="shared" si="0"/>
        <v>1133.0931175924036</v>
      </c>
      <c r="H37" s="57">
        <f t="shared" si="13"/>
        <v>247127.60894690323</v>
      </c>
      <c r="I37" s="58"/>
      <c r="J37" s="58">
        <f t="shared" si="5"/>
        <v>0</v>
      </c>
      <c r="K37" s="58">
        <f t="shared" si="6"/>
        <v>0</v>
      </c>
      <c r="L37" s="59">
        <f t="shared" si="1"/>
        <v>247127.60894690323</v>
      </c>
      <c r="M37" s="13">
        <f t="shared" si="12"/>
        <v>6798558.705554422</v>
      </c>
      <c r="N37" s="13">
        <f t="shared" si="7"/>
        <v>1482765653.6814194</v>
      </c>
      <c r="O37" s="72">
        <f t="shared" si="8"/>
        <v>31885240.329050303</v>
      </c>
      <c r="P37" s="13">
        <v>166666.66666666666</v>
      </c>
      <c r="Q37" s="72">
        <f t="shared" si="9"/>
        <v>80460.942280236573</v>
      </c>
      <c r="R37" s="13">
        <f>VLOOKUP(A37,'IDI 18MARZO'!B:D,3,0)</f>
        <v>218.1</v>
      </c>
      <c r="S37" s="72">
        <f t="shared" si="10"/>
        <v>4.6899999999999977</v>
      </c>
    </row>
    <row r="38" spans="1:19" customFormat="1" x14ac:dyDescent="0.25">
      <c r="A38" s="88">
        <v>43811</v>
      </c>
      <c r="B38" s="84">
        <v>10</v>
      </c>
      <c r="C38" s="73">
        <f t="shared" si="2"/>
        <v>1.6666666666666666E-2</v>
      </c>
      <c r="D38" s="13">
        <f t="shared" si="3"/>
        <v>225.55</v>
      </c>
      <c r="E38" s="45">
        <f t="shared" si="11"/>
        <v>1133.0931175924036</v>
      </c>
      <c r="F38" s="82"/>
      <c r="G38" s="47">
        <f t="shared" si="0"/>
        <v>1133.0931175924036</v>
      </c>
      <c r="H38" s="57">
        <f t="shared" si="13"/>
        <v>255569.15267296665</v>
      </c>
      <c r="I38" s="58"/>
      <c r="J38" s="58">
        <f t="shared" si="5"/>
        <v>0</v>
      </c>
      <c r="K38" s="58">
        <f t="shared" si="6"/>
        <v>0</v>
      </c>
      <c r="L38" s="59">
        <f t="shared" si="1"/>
        <v>255569.15267296665</v>
      </c>
      <c r="M38" s="13">
        <f t="shared" si="12"/>
        <v>6798558.705554422</v>
      </c>
      <c r="N38" s="13">
        <f t="shared" si="7"/>
        <v>1533414916.0378001</v>
      </c>
      <c r="O38" s="72">
        <f t="shared" si="8"/>
        <v>50649262.356380701</v>
      </c>
      <c r="P38" s="13">
        <v>166666.66666666666</v>
      </c>
      <c r="Q38" s="72">
        <f t="shared" si="9"/>
        <v>88902.486006299994</v>
      </c>
      <c r="R38" s="13">
        <f>VLOOKUP(A38,'IDI 18MARZO'!B:D,3,0)</f>
        <v>225.55</v>
      </c>
      <c r="S38" s="72">
        <f t="shared" si="10"/>
        <v>7.4500000000000171</v>
      </c>
    </row>
    <row r="39" spans="1:19" customFormat="1" x14ac:dyDescent="0.25">
      <c r="A39" s="88">
        <v>43812</v>
      </c>
      <c r="B39" s="84">
        <v>10</v>
      </c>
      <c r="C39" s="73">
        <f t="shared" si="2"/>
        <v>1.6666666666666666E-2</v>
      </c>
      <c r="D39" s="13">
        <f t="shared" si="3"/>
        <v>226.32</v>
      </c>
      <c r="E39" s="45">
        <f t="shared" si="11"/>
        <v>1133.0931175924036</v>
      </c>
      <c r="F39" s="82"/>
      <c r="G39" s="47">
        <f t="shared" si="0"/>
        <v>1133.0931175924036</v>
      </c>
      <c r="H39" s="57">
        <f t="shared" si="13"/>
        <v>256441.63437351276</v>
      </c>
      <c r="I39" s="58"/>
      <c r="J39" s="58">
        <f t="shared" si="5"/>
        <v>0</v>
      </c>
      <c r="K39" s="58">
        <f t="shared" si="6"/>
        <v>0</v>
      </c>
      <c r="L39" s="59">
        <f t="shared" si="1"/>
        <v>256441.63437351276</v>
      </c>
      <c r="M39" s="13">
        <f t="shared" si="12"/>
        <v>6798558.705554422</v>
      </c>
      <c r="N39" s="13">
        <f t="shared" si="7"/>
        <v>1538649806.2410767</v>
      </c>
      <c r="O39" s="72">
        <f t="shared" si="8"/>
        <v>5234890.2032766342</v>
      </c>
      <c r="P39" s="13">
        <v>166666.66666666666</v>
      </c>
      <c r="Q39" s="72">
        <f t="shared" si="9"/>
        <v>89774.967706846102</v>
      </c>
      <c r="R39" s="13">
        <f>VLOOKUP(A39,'IDI 18MARZO'!B:D,3,0)</f>
        <v>226.32</v>
      </c>
      <c r="S39" s="72">
        <f t="shared" si="10"/>
        <v>0.76999999999998181</v>
      </c>
    </row>
    <row r="40" spans="1:19" customFormat="1" x14ac:dyDescent="0.25">
      <c r="A40" s="88">
        <v>43813</v>
      </c>
      <c r="B40" s="84">
        <v>10</v>
      </c>
      <c r="C40" s="73">
        <f t="shared" si="2"/>
        <v>1.6666666666666666E-2</v>
      </c>
      <c r="D40" s="13">
        <f t="shared" si="3"/>
        <v>226.32</v>
      </c>
      <c r="E40" s="45">
        <f t="shared" si="11"/>
        <v>1133.0931175924036</v>
      </c>
      <c r="F40" s="82"/>
      <c r="G40" s="47">
        <f t="shared" si="0"/>
        <v>1133.0931175924036</v>
      </c>
      <c r="H40" s="57">
        <f t="shared" si="13"/>
        <v>256441.63437351276</v>
      </c>
      <c r="I40" s="58"/>
      <c r="J40" s="58">
        <f t="shared" si="5"/>
        <v>0</v>
      </c>
      <c r="K40" s="58">
        <f t="shared" si="6"/>
        <v>0</v>
      </c>
      <c r="L40" s="59">
        <f t="shared" si="1"/>
        <v>256441.63437351276</v>
      </c>
      <c r="M40" s="13">
        <f t="shared" si="12"/>
        <v>6798558.705554422</v>
      </c>
      <c r="N40" s="13">
        <f t="shared" si="7"/>
        <v>1538649806.2410767</v>
      </c>
      <c r="O40" s="72">
        <f t="shared" si="8"/>
        <v>0</v>
      </c>
      <c r="P40" s="13">
        <v>166666.66666666666</v>
      </c>
      <c r="Q40" s="72">
        <f t="shared" si="9"/>
        <v>89774.967706846102</v>
      </c>
      <c r="R40" s="13">
        <f>VLOOKUP(A40,'IDI 18MARZO'!B:D,3,0)</f>
        <v>226.32</v>
      </c>
      <c r="S40" s="72">
        <f t="shared" si="10"/>
        <v>0</v>
      </c>
    </row>
    <row r="41" spans="1:19" customFormat="1" x14ac:dyDescent="0.25">
      <c r="A41" s="88">
        <v>43814</v>
      </c>
      <c r="B41" s="84">
        <v>10</v>
      </c>
      <c r="C41" s="73">
        <f t="shared" si="2"/>
        <v>1.6666666666666666E-2</v>
      </c>
      <c r="D41" s="13">
        <f t="shared" si="3"/>
        <v>226.32</v>
      </c>
      <c r="E41" s="45">
        <f t="shared" si="11"/>
        <v>1133.0931175924036</v>
      </c>
      <c r="F41" s="82"/>
      <c r="G41" s="47">
        <f t="shared" si="0"/>
        <v>1133.0931175924036</v>
      </c>
      <c r="H41" s="57">
        <f t="shared" si="13"/>
        <v>256441.63437351276</v>
      </c>
      <c r="I41" s="58"/>
      <c r="J41" s="58">
        <f t="shared" si="5"/>
        <v>0</v>
      </c>
      <c r="K41" s="58">
        <f t="shared" si="6"/>
        <v>0</v>
      </c>
      <c r="L41" s="59">
        <f t="shared" si="1"/>
        <v>256441.63437351276</v>
      </c>
      <c r="M41" s="13">
        <f t="shared" si="12"/>
        <v>6798558.705554422</v>
      </c>
      <c r="N41" s="13">
        <f t="shared" si="7"/>
        <v>1538649806.2410767</v>
      </c>
      <c r="O41" s="72">
        <f t="shared" si="8"/>
        <v>0</v>
      </c>
      <c r="P41" s="13">
        <v>166666.66666666666</v>
      </c>
      <c r="Q41" s="72">
        <f t="shared" si="9"/>
        <v>89774.967706846102</v>
      </c>
      <c r="R41" s="13">
        <f>VLOOKUP(A41,'IDI 18MARZO'!B:D,3,0)</f>
        <v>226.32</v>
      </c>
      <c r="S41" s="72">
        <f t="shared" si="10"/>
        <v>0</v>
      </c>
    </row>
    <row r="42" spans="1:19" customFormat="1" x14ac:dyDescent="0.25">
      <c r="A42" s="88">
        <v>43815</v>
      </c>
      <c r="B42" s="84">
        <v>10</v>
      </c>
      <c r="C42" s="73">
        <f t="shared" si="2"/>
        <v>1.6666666666666666E-2</v>
      </c>
      <c r="D42" s="13">
        <f t="shared" si="3"/>
        <v>226.38</v>
      </c>
      <c r="E42" s="45">
        <f t="shared" si="11"/>
        <v>1133.0931175924036</v>
      </c>
      <c r="F42" s="82"/>
      <c r="G42" s="47">
        <f t="shared" si="0"/>
        <v>1133.0931175924036</v>
      </c>
      <c r="H42" s="57">
        <f t="shared" si="13"/>
        <v>256509.61996056832</v>
      </c>
      <c r="I42" s="58"/>
      <c r="J42" s="58">
        <f t="shared" si="5"/>
        <v>0</v>
      </c>
      <c r="K42" s="58">
        <f t="shared" si="6"/>
        <v>0</v>
      </c>
      <c r="L42" s="59">
        <f t="shared" si="1"/>
        <v>256509.61996056832</v>
      </c>
      <c r="M42" s="13">
        <f t="shared" si="12"/>
        <v>6798558.705554422</v>
      </c>
      <c r="N42" s="13">
        <f t="shared" si="7"/>
        <v>1539057719.7634101</v>
      </c>
      <c r="O42" s="72">
        <f t="shared" si="8"/>
        <v>407913.52233338356</v>
      </c>
      <c r="P42" s="13">
        <v>166666.66666666666</v>
      </c>
      <c r="Q42" s="72">
        <f t="shared" si="9"/>
        <v>89842.953293901664</v>
      </c>
      <c r="R42" s="13">
        <f>VLOOKUP(A42,'IDI 18MARZO'!B:D,3,0)</f>
        <v>226.38</v>
      </c>
      <c r="S42" s="72">
        <f t="shared" si="10"/>
        <v>6.0000000000002274E-2</v>
      </c>
    </row>
    <row r="43" spans="1:19" customFormat="1" x14ac:dyDescent="0.25">
      <c r="A43" s="88">
        <v>43816</v>
      </c>
      <c r="B43" s="84">
        <v>10</v>
      </c>
      <c r="C43" s="73">
        <f t="shared" si="2"/>
        <v>1.6666666666666666E-2</v>
      </c>
      <c r="D43" s="13">
        <f t="shared" si="3"/>
        <v>226.68</v>
      </c>
      <c r="E43" s="45">
        <f t="shared" si="11"/>
        <v>1133.0931175924036</v>
      </c>
      <c r="F43" s="82"/>
      <c r="G43" s="47">
        <f t="shared" si="0"/>
        <v>1133.0931175924036</v>
      </c>
      <c r="H43" s="57">
        <f t="shared" si="13"/>
        <v>256849.54789584604</v>
      </c>
      <c r="I43" s="58"/>
      <c r="J43" s="58">
        <f t="shared" si="5"/>
        <v>0</v>
      </c>
      <c r="K43" s="58">
        <f t="shared" si="6"/>
        <v>0</v>
      </c>
      <c r="L43" s="59">
        <f t="shared" si="1"/>
        <v>256849.54789584604</v>
      </c>
      <c r="M43" s="13">
        <f t="shared" si="12"/>
        <v>6798558.705554422</v>
      </c>
      <c r="N43" s="13">
        <f t="shared" si="7"/>
        <v>1541097287.3750765</v>
      </c>
      <c r="O43" s="72">
        <f t="shared" si="8"/>
        <v>2039567.611666441</v>
      </c>
      <c r="P43" s="13">
        <v>166666.66666666666</v>
      </c>
      <c r="Q43" s="72">
        <f t="shared" si="9"/>
        <v>90182.881229179387</v>
      </c>
      <c r="R43" s="13">
        <f>VLOOKUP(A43,'IDI 18MARZO'!B:D,3,0)</f>
        <v>226.68</v>
      </c>
      <c r="S43" s="72">
        <f t="shared" si="10"/>
        <v>0.30000000000001137</v>
      </c>
    </row>
    <row r="44" spans="1:19" customFormat="1" x14ac:dyDescent="0.25">
      <c r="A44" s="88">
        <v>43817</v>
      </c>
      <c r="B44" s="84">
        <v>10</v>
      </c>
      <c r="C44" s="73">
        <f t="shared" si="2"/>
        <v>1.6666666666666666E-2</v>
      </c>
      <c r="D44" s="13">
        <f t="shared" si="3"/>
        <v>229.52</v>
      </c>
      <c r="E44" s="45">
        <f t="shared" si="11"/>
        <v>1133.0931175924036</v>
      </c>
      <c r="F44" s="82"/>
      <c r="G44" s="47">
        <f t="shared" si="0"/>
        <v>1133.0931175924036</v>
      </c>
      <c r="H44" s="57">
        <f t="shared" si="13"/>
        <v>260067.53234980849</v>
      </c>
      <c r="I44" s="58"/>
      <c r="J44" s="58">
        <f t="shared" si="5"/>
        <v>0</v>
      </c>
      <c r="K44" s="58">
        <f t="shared" si="6"/>
        <v>0</v>
      </c>
      <c r="L44" s="59">
        <f t="shared" si="1"/>
        <v>260067.53234980849</v>
      </c>
      <c r="M44" s="13">
        <f t="shared" si="12"/>
        <v>6798558.705554422</v>
      </c>
      <c r="N44" s="13">
        <f t="shared" si="7"/>
        <v>1560405194.098851</v>
      </c>
      <c r="O44" s="72">
        <f t="shared" si="8"/>
        <v>19307906.723774433</v>
      </c>
      <c r="P44" s="13">
        <v>166666.66666666666</v>
      </c>
      <c r="Q44" s="72">
        <f t="shared" si="9"/>
        <v>93400.865683141834</v>
      </c>
      <c r="R44" s="13">
        <f>VLOOKUP(A44,'IDI 18MARZO'!B:D,3,0)</f>
        <v>229.52</v>
      </c>
      <c r="S44" s="72">
        <f t="shared" si="10"/>
        <v>2.8400000000000034</v>
      </c>
    </row>
    <row r="45" spans="1:19" customFormat="1" x14ac:dyDescent="0.25">
      <c r="A45" s="88">
        <v>43818</v>
      </c>
      <c r="B45" s="84">
        <v>10</v>
      </c>
      <c r="C45" s="73">
        <f t="shared" si="2"/>
        <v>1.6666666666666666E-2</v>
      </c>
      <c r="D45" s="13">
        <f t="shared" si="3"/>
        <v>234.39</v>
      </c>
      <c r="E45" s="45">
        <f t="shared" si="11"/>
        <v>1133.0931175924036</v>
      </c>
      <c r="F45" s="82"/>
      <c r="G45" s="47">
        <f t="shared" si="0"/>
        <v>1133.0931175924036</v>
      </c>
      <c r="H45" s="57">
        <f t="shared" si="13"/>
        <v>265585.69583248347</v>
      </c>
      <c r="I45" s="58"/>
      <c r="J45" s="58">
        <f t="shared" si="5"/>
        <v>0</v>
      </c>
      <c r="K45" s="58">
        <f t="shared" si="6"/>
        <v>0</v>
      </c>
      <c r="L45" s="59">
        <f t="shared" si="1"/>
        <v>265585.69583248347</v>
      </c>
      <c r="M45" s="13">
        <f t="shared" si="12"/>
        <v>6798558.705554422</v>
      </c>
      <c r="N45" s="13">
        <f t="shared" si="7"/>
        <v>1593514174.9949009</v>
      </c>
      <c r="O45" s="72">
        <f t="shared" si="8"/>
        <v>33108980.896049976</v>
      </c>
      <c r="P45" s="13">
        <v>166666.66666666666</v>
      </c>
      <c r="Q45" s="72">
        <f t="shared" si="9"/>
        <v>98919.029165816813</v>
      </c>
      <c r="R45" s="13">
        <f>VLOOKUP(A45,'IDI 18MARZO'!B:D,3,0)</f>
        <v>234.39</v>
      </c>
      <c r="S45" s="72">
        <f t="shared" si="10"/>
        <v>4.8699999999999761</v>
      </c>
    </row>
    <row r="46" spans="1:19" customFormat="1" x14ac:dyDescent="0.25">
      <c r="A46" s="88">
        <v>43819</v>
      </c>
      <c r="B46" s="84">
        <v>10</v>
      </c>
      <c r="C46" s="73">
        <f t="shared" si="2"/>
        <v>1.6666666666666666E-2</v>
      </c>
      <c r="D46" s="13">
        <f t="shared" si="3"/>
        <v>230.6</v>
      </c>
      <c r="E46" s="45">
        <f t="shared" si="11"/>
        <v>1133.0931175924036</v>
      </c>
      <c r="F46" s="82"/>
      <c r="G46" s="47">
        <f t="shared" si="0"/>
        <v>1133.0931175924036</v>
      </c>
      <c r="H46" s="57">
        <f t="shared" si="13"/>
        <v>261291.27291680826</v>
      </c>
      <c r="I46" s="58"/>
      <c r="J46" s="58">
        <f t="shared" si="5"/>
        <v>0</v>
      </c>
      <c r="K46" s="58">
        <f t="shared" si="6"/>
        <v>0</v>
      </c>
      <c r="L46" s="59">
        <f t="shared" si="1"/>
        <v>261291.27291680826</v>
      </c>
      <c r="M46" s="13">
        <f t="shared" si="12"/>
        <v>6798558.705554422</v>
      </c>
      <c r="N46" s="13">
        <f t="shared" si="7"/>
        <v>1567747637.5008497</v>
      </c>
      <c r="O46" s="72">
        <f t="shared" si="8"/>
        <v>-25766537.494051218</v>
      </c>
      <c r="P46" s="13">
        <v>166666.66666666666</v>
      </c>
      <c r="Q46" s="72">
        <f t="shared" si="9"/>
        <v>94624.606250141602</v>
      </c>
      <c r="R46" s="13">
        <f>VLOOKUP(A46,'IDI 18MARZO'!B:D,3,0)</f>
        <v>230.6</v>
      </c>
      <c r="S46" s="72">
        <f t="shared" si="10"/>
        <v>-3.789999999999992</v>
      </c>
    </row>
    <row r="47" spans="1:19" customFormat="1" x14ac:dyDescent="0.25">
      <c r="A47" s="88">
        <v>43820</v>
      </c>
      <c r="B47" s="84">
        <v>10</v>
      </c>
      <c r="C47" s="73">
        <f t="shared" si="2"/>
        <v>1.6666666666666666E-2</v>
      </c>
      <c r="D47" s="13">
        <f t="shared" si="3"/>
        <v>230.6</v>
      </c>
      <c r="E47" s="45">
        <f t="shared" si="11"/>
        <v>1133.0931175924036</v>
      </c>
      <c r="F47" s="82"/>
      <c r="G47" s="47">
        <f t="shared" si="0"/>
        <v>1133.0931175924036</v>
      </c>
      <c r="H47" s="57">
        <f t="shared" si="13"/>
        <v>261291.27291680826</v>
      </c>
      <c r="I47" s="58"/>
      <c r="J47" s="58">
        <f t="shared" si="5"/>
        <v>0</v>
      </c>
      <c r="K47" s="58">
        <f t="shared" si="6"/>
        <v>0</v>
      </c>
      <c r="L47" s="59">
        <f t="shared" si="1"/>
        <v>261291.27291680826</v>
      </c>
      <c r="M47" s="13">
        <f t="shared" si="12"/>
        <v>6798558.705554422</v>
      </c>
      <c r="N47" s="13">
        <f t="shared" si="7"/>
        <v>1567747637.5008497</v>
      </c>
      <c r="O47" s="72">
        <f t="shared" si="8"/>
        <v>0</v>
      </c>
      <c r="P47" s="13">
        <v>166666.66666666666</v>
      </c>
      <c r="Q47" s="72">
        <f t="shared" si="9"/>
        <v>94624.606250141602</v>
      </c>
      <c r="R47" s="13">
        <f>VLOOKUP(A47,'IDI 18MARZO'!B:D,3,0)</f>
        <v>230.6</v>
      </c>
      <c r="S47" s="72">
        <f t="shared" si="10"/>
        <v>0</v>
      </c>
    </row>
    <row r="48" spans="1:19" customFormat="1" x14ac:dyDescent="0.25">
      <c r="A48" s="88">
        <v>43821</v>
      </c>
      <c r="B48" s="84">
        <v>10</v>
      </c>
      <c r="C48" s="73">
        <f t="shared" si="2"/>
        <v>1.6666666666666666E-2</v>
      </c>
      <c r="D48" s="13">
        <f t="shared" si="3"/>
        <v>230.6</v>
      </c>
      <c r="E48" s="45">
        <f t="shared" si="11"/>
        <v>1133.0931175924036</v>
      </c>
      <c r="F48" s="82"/>
      <c r="G48" s="47">
        <f t="shared" si="0"/>
        <v>1133.0931175924036</v>
      </c>
      <c r="H48" s="57">
        <f t="shared" si="13"/>
        <v>261291.27291680826</v>
      </c>
      <c r="I48" s="58"/>
      <c r="J48" s="58">
        <f t="shared" si="5"/>
        <v>0</v>
      </c>
      <c r="K48" s="58">
        <f t="shared" si="6"/>
        <v>0</v>
      </c>
      <c r="L48" s="59">
        <f t="shared" si="1"/>
        <v>261291.27291680826</v>
      </c>
      <c r="M48" s="13">
        <f t="shared" si="12"/>
        <v>6798558.705554422</v>
      </c>
      <c r="N48" s="13">
        <f t="shared" si="7"/>
        <v>1567747637.5008497</v>
      </c>
      <c r="O48" s="72">
        <f t="shared" si="8"/>
        <v>0</v>
      </c>
      <c r="P48" s="13">
        <v>166666.66666666666</v>
      </c>
      <c r="Q48" s="72">
        <f t="shared" si="9"/>
        <v>94624.606250141602</v>
      </c>
      <c r="R48" s="13">
        <f>VLOOKUP(A48,'IDI 18MARZO'!B:D,3,0)</f>
        <v>230.6</v>
      </c>
      <c r="S48" s="72">
        <f t="shared" si="10"/>
        <v>0</v>
      </c>
    </row>
    <row r="49" spans="1:19" customFormat="1" x14ac:dyDescent="0.25">
      <c r="A49" s="88">
        <v>43822</v>
      </c>
      <c r="B49" s="84">
        <v>10</v>
      </c>
      <c r="C49" s="73">
        <f t="shared" si="2"/>
        <v>1.6666666666666666E-2</v>
      </c>
      <c r="D49" s="13">
        <f t="shared" si="3"/>
        <v>228.2</v>
      </c>
      <c r="E49" s="45">
        <f t="shared" si="11"/>
        <v>1133.0931175924036</v>
      </c>
      <c r="F49" s="82"/>
      <c r="G49" s="47">
        <f t="shared" si="0"/>
        <v>1133.0931175924036</v>
      </c>
      <c r="H49" s="57">
        <f t="shared" si="13"/>
        <v>258571.84943458647</v>
      </c>
      <c r="I49" s="58"/>
      <c r="J49" s="58">
        <f t="shared" si="5"/>
        <v>0</v>
      </c>
      <c r="K49" s="58">
        <f t="shared" si="6"/>
        <v>0</v>
      </c>
      <c r="L49" s="59">
        <f t="shared" si="1"/>
        <v>258571.84943458647</v>
      </c>
      <c r="M49" s="13">
        <f t="shared" si="12"/>
        <v>6798558.705554422</v>
      </c>
      <c r="N49" s="13">
        <f t="shared" si="7"/>
        <v>1551431096.6075189</v>
      </c>
      <c r="O49" s="72">
        <f t="shared" si="8"/>
        <v>-16316540.893330812</v>
      </c>
      <c r="P49" s="13">
        <v>166666.66666666666</v>
      </c>
      <c r="Q49" s="72">
        <f t="shared" si="9"/>
        <v>91905.182767919818</v>
      </c>
      <c r="R49" s="13">
        <f>VLOOKUP(A49,'IDI 18MARZO'!B:D,3,0)</f>
        <v>228.2</v>
      </c>
      <c r="S49" s="72">
        <f t="shared" si="10"/>
        <v>-2.4000000000000057</v>
      </c>
    </row>
    <row r="50" spans="1:19" customFormat="1" x14ac:dyDescent="0.25">
      <c r="A50" s="88">
        <v>43823</v>
      </c>
      <c r="B50" s="84">
        <v>10</v>
      </c>
      <c r="C50" s="73">
        <f t="shared" si="2"/>
        <v>1.6666666666666666E-2</v>
      </c>
      <c r="D50" s="13">
        <f t="shared" si="3"/>
        <v>228.2</v>
      </c>
      <c r="E50" s="45">
        <f t="shared" si="11"/>
        <v>1133.0931175924036</v>
      </c>
      <c r="F50" s="82"/>
      <c r="G50" s="47">
        <f t="shared" si="0"/>
        <v>1133.0931175924036</v>
      </c>
      <c r="H50" s="57">
        <f t="shared" si="13"/>
        <v>258571.84943458647</v>
      </c>
      <c r="I50" s="58"/>
      <c r="J50" s="58">
        <f t="shared" si="5"/>
        <v>0</v>
      </c>
      <c r="K50" s="58">
        <f t="shared" si="6"/>
        <v>0</v>
      </c>
      <c r="L50" s="59">
        <f t="shared" si="1"/>
        <v>258571.84943458647</v>
      </c>
      <c r="M50" s="13">
        <f t="shared" si="12"/>
        <v>6798558.705554422</v>
      </c>
      <c r="N50" s="13">
        <f t="shared" si="7"/>
        <v>1551431096.6075189</v>
      </c>
      <c r="O50" s="72">
        <f t="shared" si="8"/>
        <v>0</v>
      </c>
      <c r="P50" s="13">
        <v>166666.66666666666</v>
      </c>
      <c r="Q50" s="72">
        <f t="shared" si="9"/>
        <v>91905.182767919818</v>
      </c>
      <c r="R50" s="13">
        <f>VLOOKUP(A50,'IDI 18MARZO'!B:D,3,0)</f>
        <v>228.2</v>
      </c>
      <c r="S50" s="72">
        <f t="shared" si="10"/>
        <v>0</v>
      </c>
    </row>
    <row r="51" spans="1:19" customFormat="1" x14ac:dyDescent="0.25">
      <c r="A51" s="88">
        <v>43824</v>
      </c>
      <c r="B51" s="84">
        <v>10</v>
      </c>
      <c r="C51" s="73">
        <f t="shared" si="2"/>
        <v>1.6666666666666666E-2</v>
      </c>
      <c r="D51" s="13">
        <f t="shared" si="3"/>
        <v>228.2</v>
      </c>
      <c r="E51" s="45">
        <f t="shared" si="11"/>
        <v>1133.0931175924036</v>
      </c>
      <c r="F51" s="82"/>
      <c r="G51" s="47">
        <f t="shared" si="0"/>
        <v>1133.0931175924036</v>
      </c>
      <c r="H51" s="57">
        <f t="shared" si="13"/>
        <v>258571.84943458647</v>
      </c>
      <c r="I51" s="58"/>
      <c r="J51" s="58">
        <f t="shared" si="5"/>
        <v>0</v>
      </c>
      <c r="K51" s="58">
        <f t="shared" si="6"/>
        <v>0</v>
      </c>
      <c r="L51" s="59">
        <f t="shared" si="1"/>
        <v>258571.84943458647</v>
      </c>
      <c r="M51" s="13">
        <f t="shared" si="12"/>
        <v>6798558.705554422</v>
      </c>
      <c r="N51" s="13">
        <f t="shared" si="7"/>
        <v>1551431096.6075189</v>
      </c>
      <c r="O51" s="72">
        <f t="shared" si="8"/>
        <v>0</v>
      </c>
      <c r="P51" s="13">
        <v>166666.66666666666</v>
      </c>
      <c r="Q51" s="72">
        <f t="shared" si="9"/>
        <v>91905.182767919818</v>
      </c>
      <c r="R51" s="13">
        <f>VLOOKUP(A51,'IDI 18MARZO'!B:D,3,0)</f>
        <v>228.2</v>
      </c>
      <c r="S51" s="72">
        <f t="shared" si="10"/>
        <v>0</v>
      </c>
    </row>
    <row r="52" spans="1:19" customFormat="1" x14ac:dyDescent="0.25">
      <c r="A52" s="88">
        <v>43825</v>
      </c>
      <c r="B52" s="84">
        <v>10</v>
      </c>
      <c r="C52" s="73">
        <f t="shared" si="2"/>
        <v>1.6666666666666666E-2</v>
      </c>
      <c r="D52" s="13">
        <f t="shared" si="3"/>
        <v>222.71</v>
      </c>
      <c r="E52" s="45">
        <f t="shared" si="11"/>
        <v>1133.0931175924036</v>
      </c>
      <c r="F52" s="82"/>
      <c r="G52" s="47">
        <f t="shared" si="0"/>
        <v>1133.0931175924036</v>
      </c>
      <c r="H52" s="57">
        <f t="shared" si="13"/>
        <v>252351.1682190042</v>
      </c>
      <c r="I52" s="58"/>
      <c r="J52" s="58">
        <f t="shared" si="5"/>
        <v>0</v>
      </c>
      <c r="K52" s="58">
        <f t="shared" si="6"/>
        <v>0</v>
      </c>
      <c r="L52" s="59">
        <f t="shared" si="1"/>
        <v>252351.1682190042</v>
      </c>
      <c r="M52" s="13">
        <f t="shared" si="12"/>
        <v>6798558.705554422</v>
      </c>
      <c r="N52" s="13">
        <f t="shared" si="7"/>
        <v>1514107009.3140254</v>
      </c>
      <c r="O52" s="72">
        <f t="shared" si="8"/>
        <v>-37324087.293493509</v>
      </c>
      <c r="P52" s="13">
        <v>166666.66666666666</v>
      </c>
      <c r="Q52" s="72">
        <f t="shared" si="9"/>
        <v>85684.501552337548</v>
      </c>
      <c r="R52" s="13">
        <f>VLOOKUP(A52,'IDI 18MARZO'!B:D,3,0)</f>
        <v>222.71</v>
      </c>
      <c r="S52" s="72">
        <f t="shared" si="10"/>
        <v>-5.4899999999999807</v>
      </c>
    </row>
    <row r="53" spans="1:19" customFormat="1" x14ac:dyDescent="0.25">
      <c r="A53" s="88">
        <v>43826</v>
      </c>
      <c r="B53" s="84">
        <v>10</v>
      </c>
      <c r="C53" s="73">
        <f t="shared" si="2"/>
        <v>1.6666666666666666E-2</v>
      </c>
      <c r="D53" s="13">
        <f t="shared" si="3"/>
        <v>221.26</v>
      </c>
      <c r="E53" s="45">
        <f t="shared" si="11"/>
        <v>1133.0931175924036</v>
      </c>
      <c r="F53" s="82"/>
      <c r="G53" s="47">
        <f t="shared" si="0"/>
        <v>1133.0931175924036</v>
      </c>
      <c r="H53" s="57">
        <f t="shared" si="13"/>
        <v>250708.18319849522</v>
      </c>
      <c r="I53" s="58"/>
      <c r="J53" s="58">
        <f t="shared" si="5"/>
        <v>0</v>
      </c>
      <c r="K53" s="58">
        <f t="shared" si="6"/>
        <v>0</v>
      </c>
      <c r="L53" s="59">
        <f t="shared" si="1"/>
        <v>250708.18319849522</v>
      </c>
      <c r="M53" s="13">
        <f t="shared" si="12"/>
        <v>6798558.705554422</v>
      </c>
      <c r="N53" s="13">
        <f t="shared" si="7"/>
        <v>1504249099.1909714</v>
      </c>
      <c r="O53" s="72">
        <f t="shared" si="8"/>
        <v>-9857910.1230540276</v>
      </c>
      <c r="P53" s="13">
        <v>166666.66666666666</v>
      </c>
      <c r="Q53" s="72">
        <f t="shared" si="9"/>
        <v>84041.516531828558</v>
      </c>
      <c r="R53" s="13">
        <f>VLOOKUP(A53,'IDI 18MARZO'!B:D,3,0)</f>
        <v>221.26</v>
      </c>
      <c r="S53" s="72">
        <f t="shared" si="10"/>
        <v>-1.4500000000000171</v>
      </c>
    </row>
    <row r="54" spans="1:19" customFormat="1" x14ac:dyDescent="0.25">
      <c r="A54" s="88">
        <v>43827</v>
      </c>
      <c r="B54" s="84">
        <v>10</v>
      </c>
      <c r="C54" s="73">
        <f t="shared" si="2"/>
        <v>1.6666666666666666E-2</v>
      </c>
      <c r="D54" s="13">
        <f t="shared" si="3"/>
        <v>221.26</v>
      </c>
      <c r="E54" s="45">
        <f t="shared" si="11"/>
        <v>1133.0931175924036</v>
      </c>
      <c r="F54" s="82"/>
      <c r="G54" s="47">
        <f t="shared" si="0"/>
        <v>1133.0931175924036</v>
      </c>
      <c r="H54" s="57">
        <f t="shared" si="13"/>
        <v>250708.18319849522</v>
      </c>
      <c r="I54" s="58"/>
      <c r="J54" s="58">
        <f t="shared" si="5"/>
        <v>0</v>
      </c>
      <c r="K54" s="58">
        <f t="shared" si="6"/>
        <v>0</v>
      </c>
      <c r="L54" s="59">
        <f t="shared" si="1"/>
        <v>250708.18319849522</v>
      </c>
      <c r="M54" s="13">
        <f t="shared" si="12"/>
        <v>6798558.705554422</v>
      </c>
      <c r="N54" s="13">
        <f t="shared" si="7"/>
        <v>1504249099.1909714</v>
      </c>
      <c r="O54" s="72">
        <f t="shared" si="8"/>
        <v>0</v>
      </c>
      <c r="P54" s="13">
        <v>166666.66666666666</v>
      </c>
      <c r="Q54" s="72">
        <f t="shared" si="9"/>
        <v>84041.516531828558</v>
      </c>
      <c r="R54" s="13">
        <f>VLOOKUP(A54,'IDI 18MARZO'!B:D,3,0)</f>
        <v>221.26</v>
      </c>
      <c r="S54" s="72">
        <f t="shared" si="10"/>
        <v>0</v>
      </c>
    </row>
    <row r="55" spans="1:19" customFormat="1" x14ac:dyDescent="0.25">
      <c r="A55" s="88">
        <v>43828</v>
      </c>
      <c r="B55" s="84">
        <v>10</v>
      </c>
      <c r="C55" s="73">
        <f t="shared" si="2"/>
        <v>1.6666666666666666E-2</v>
      </c>
      <c r="D55" s="13">
        <f t="shared" si="3"/>
        <v>221.26</v>
      </c>
      <c r="E55" s="45">
        <f t="shared" si="11"/>
        <v>1133.0931175924036</v>
      </c>
      <c r="F55" s="82"/>
      <c r="G55" s="47">
        <f t="shared" si="0"/>
        <v>1133.0931175924036</v>
      </c>
      <c r="H55" s="57">
        <f t="shared" si="13"/>
        <v>250708.18319849522</v>
      </c>
      <c r="I55" s="58"/>
      <c r="J55" s="58">
        <f t="shared" si="5"/>
        <v>0</v>
      </c>
      <c r="K55" s="58">
        <f t="shared" si="6"/>
        <v>0</v>
      </c>
      <c r="L55" s="59">
        <f t="shared" si="1"/>
        <v>250708.18319849522</v>
      </c>
      <c r="M55" s="13">
        <f t="shared" si="12"/>
        <v>6798558.705554422</v>
      </c>
      <c r="N55" s="13">
        <f t="shared" si="7"/>
        <v>1504249099.1909714</v>
      </c>
      <c r="O55" s="72">
        <f t="shared" si="8"/>
        <v>0</v>
      </c>
      <c r="P55" s="13">
        <v>166666.66666666666</v>
      </c>
      <c r="Q55" s="72">
        <f t="shared" si="9"/>
        <v>84041.516531828558</v>
      </c>
      <c r="R55" s="13">
        <f>VLOOKUP(A55,'IDI 18MARZO'!B:D,3,0)</f>
        <v>221.26</v>
      </c>
      <c r="S55" s="72">
        <f t="shared" si="10"/>
        <v>0</v>
      </c>
    </row>
    <row r="56" spans="1:19" customFormat="1" x14ac:dyDescent="0.25">
      <c r="A56" s="88">
        <v>43829</v>
      </c>
      <c r="B56" s="84">
        <v>10</v>
      </c>
      <c r="C56" s="73">
        <f t="shared" si="2"/>
        <v>1.6666666666666666E-2</v>
      </c>
      <c r="D56" s="13">
        <f t="shared" si="3"/>
        <v>224.28</v>
      </c>
      <c r="E56" s="45">
        <f t="shared" si="11"/>
        <v>1133.0931175924036</v>
      </c>
      <c r="F56" s="82"/>
      <c r="G56" s="47">
        <f t="shared" si="0"/>
        <v>1133.0931175924036</v>
      </c>
      <c r="H56" s="57">
        <f t="shared" si="13"/>
        <v>254130.12441362429</v>
      </c>
      <c r="I56" s="58"/>
      <c r="J56" s="58">
        <f t="shared" si="5"/>
        <v>0</v>
      </c>
      <c r="K56" s="58">
        <f t="shared" si="6"/>
        <v>0</v>
      </c>
      <c r="L56" s="59">
        <f t="shared" si="1"/>
        <v>254130.12441362429</v>
      </c>
      <c r="M56" s="13">
        <f t="shared" si="12"/>
        <v>6798558.705554422</v>
      </c>
      <c r="N56" s="13">
        <f t="shared" si="7"/>
        <v>1524780746.4817457</v>
      </c>
      <c r="O56" s="72">
        <f t="shared" si="8"/>
        <v>20531647.290774345</v>
      </c>
      <c r="P56" s="13">
        <v>166666.66666666666</v>
      </c>
      <c r="Q56" s="72">
        <f t="shared" si="9"/>
        <v>87463.457746957632</v>
      </c>
      <c r="R56" s="13">
        <f>VLOOKUP(A56,'IDI 18MARZO'!B:D,3,0)</f>
        <v>224.28</v>
      </c>
      <c r="S56" s="72">
        <f t="shared" si="10"/>
        <v>3.0200000000000102</v>
      </c>
    </row>
    <row r="57" spans="1:19" customFormat="1" x14ac:dyDescent="0.25">
      <c r="A57" s="88">
        <v>43830</v>
      </c>
      <c r="B57" s="84">
        <v>10</v>
      </c>
      <c r="C57" s="73">
        <f t="shared" si="2"/>
        <v>1.6666666666666666E-2</v>
      </c>
      <c r="D57" s="13">
        <f t="shared" si="3"/>
        <v>224.28</v>
      </c>
      <c r="E57" s="45">
        <f t="shared" si="11"/>
        <v>1133.0931175924036</v>
      </c>
      <c r="F57" s="82"/>
      <c r="G57" s="47">
        <f t="shared" si="0"/>
        <v>1133.0931175924036</v>
      </c>
      <c r="H57" s="57">
        <f t="shared" si="13"/>
        <v>254130.12441362429</v>
      </c>
      <c r="I57" s="58"/>
      <c r="J57" s="58">
        <f t="shared" si="5"/>
        <v>0</v>
      </c>
      <c r="K57" s="58">
        <f t="shared" si="6"/>
        <v>0</v>
      </c>
      <c r="L57" s="59">
        <f t="shared" si="1"/>
        <v>254130.12441362429</v>
      </c>
      <c r="M57" s="13">
        <f t="shared" si="12"/>
        <v>6798558.705554422</v>
      </c>
      <c r="N57" s="13">
        <f t="shared" si="7"/>
        <v>1524780746.4817457</v>
      </c>
      <c r="O57" s="72">
        <f t="shared" si="8"/>
        <v>0</v>
      </c>
      <c r="P57" s="13">
        <v>166666.66666666666</v>
      </c>
      <c r="Q57" s="72">
        <f t="shared" si="9"/>
        <v>87463.457746957632</v>
      </c>
      <c r="R57" s="13">
        <f>VLOOKUP(A57,'IDI 18MARZO'!B:D,3,0)</f>
        <v>224.28</v>
      </c>
      <c r="S57" s="72">
        <f t="shared" si="10"/>
        <v>0</v>
      </c>
    </row>
    <row r="58" spans="1:19" customFormat="1" x14ac:dyDescent="0.25">
      <c r="A58" s="88">
        <v>43831</v>
      </c>
      <c r="B58" s="84">
        <v>10</v>
      </c>
      <c r="C58" s="73">
        <f t="shared" si="2"/>
        <v>1.6666666666666666E-2</v>
      </c>
      <c r="D58" s="13">
        <f t="shared" si="3"/>
        <v>224.28</v>
      </c>
      <c r="E58" s="45">
        <f t="shared" si="11"/>
        <v>1133.0931175924036</v>
      </c>
      <c r="F58" s="82"/>
      <c r="G58" s="47">
        <f t="shared" si="0"/>
        <v>1133.0931175924036</v>
      </c>
      <c r="H58" s="57">
        <f t="shared" si="13"/>
        <v>254130.12441362429</v>
      </c>
      <c r="I58" s="58"/>
      <c r="J58" s="58">
        <f t="shared" si="5"/>
        <v>0</v>
      </c>
      <c r="K58" s="58">
        <f t="shared" si="6"/>
        <v>0</v>
      </c>
      <c r="L58" s="59">
        <f t="shared" si="1"/>
        <v>254130.12441362429</v>
      </c>
      <c r="M58" s="13">
        <f t="shared" si="12"/>
        <v>6798558.705554422</v>
      </c>
      <c r="N58" s="13">
        <f t="shared" si="7"/>
        <v>1524780746.4817457</v>
      </c>
      <c r="O58" s="72">
        <f t="shared" si="8"/>
        <v>0</v>
      </c>
      <c r="P58" s="13">
        <v>166666.66666666666</v>
      </c>
      <c r="Q58" s="72">
        <f t="shared" si="9"/>
        <v>87463.457746957632</v>
      </c>
      <c r="R58" s="13">
        <f>VLOOKUP(A58,'IDI 18MARZO'!B:D,3,0)</f>
        <v>224.28</v>
      </c>
      <c r="S58" s="72">
        <f t="shared" si="10"/>
        <v>0</v>
      </c>
    </row>
    <row r="59" spans="1:19" customFormat="1" x14ac:dyDescent="0.25">
      <c r="A59" s="88">
        <v>43832</v>
      </c>
      <c r="B59" s="84">
        <v>10</v>
      </c>
      <c r="C59" s="73">
        <f t="shared" si="2"/>
        <v>1.6666666666666666E-2</v>
      </c>
      <c r="D59" s="13">
        <f t="shared" si="3"/>
        <v>227.93</v>
      </c>
      <c r="E59" s="45">
        <f t="shared" si="11"/>
        <v>1133.0931175924036</v>
      </c>
      <c r="F59" s="82"/>
      <c r="G59" s="47">
        <f t="shared" si="0"/>
        <v>1133.0931175924036</v>
      </c>
      <c r="H59" s="57">
        <f t="shared" si="13"/>
        <v>258265.91429283656</v>
      </c>
      <c r="I59" s="58"/>
      <c r="J59" s="58">
        <f t="shared" si="5"/>
        <v>0</v>
      </c>
      <c r="K59" s="58">
        <f t="shared" si="6"/>
        <v>0</v>
      </c>
      <c r="L59" s="59">
        <f t="shared" si="1"/>
        <v>258265.91429283656</v>
      </c>
      <c r="M59" s="13">
        <f t="shared" si="12"/>
        <v>6798558.705554422</v>
      </c>
      <c r="N59" s="13">
        <f t="shared" si="7"/>
        <v>1549595485.7570195</v>
      </c>
      <c r="O59" s="72">
        <f t="shared" si="8"/>
        <v>24814739.2752738</v>
      </c>
      <c r="P59" s="13">
        <v>166666.66666666666</v>
      </c>
      <c r="Q59" s="72">
        <f t="shared" si="9"/>
        <v>91599.247626169905</v>
      </c>
      <c r="R59" s="13">
        <f>VLOOKUP(A59,'IDI 18MARZO'!B:D,3,0)</f>
        <v>227.93</v>
      </c>
      <c r="S59" s="72">
        <f t="shared" si="10"/>
        <v>3.6500000000000057</v>
      </c>
    </row>
    <row r="60" spans="1:19" customFormat="1" x14ac:dyDescent="0.25">
      <c r="A60" s="88">
        <v>43833</v>
      </c>
      <c r="B60" s="84">
        <v>10</v>
      </c>
      <c r="C60" s="73">
        <f t="shared" si="2"/>
        <v>1.6666666666666666E-2</v>
      </c>
      <c r="D60" s="13">
        <f t="shared" si="3"/>
        <v>238.14</v>
      </c>
      <c r="E60" s="45">
        <f t="shared" si="11"/>
        <v>1133.0931175924036</v>
      </c>
      <c r="F60" s="82"/>
      <c r="G60" s="47">
        <f t="shared" si="0"/>
        <v>1133.0931175924036</v>
      </c>
      <c r="H60" s="57">
        <f t="shared" si="13"/>
        <v>269834.79502345499</v>
      </c>
      <c r="I60" s="58"/>
      <c r="J60" s="58">
        <f t="shared" si="5"/>
        <v>0</v>
      </c>
      <c r="K60" s="58">
        <f t="shared" si="6"/>
        <v>0</v>
      </c>
      <c r="L60" s="59">
        <f t="shared" si="1"/>
        <v>269834.79502345499</v>
      </c>
      <c r="M60" s="13">
        <f t="shared" si="12"/>
        <v>6798558.705554422</v>
      </c>
      <c r="N60" s="13">
        <f t="shared" si="7"/>
        <v>1619008770.1407299</v>
      </c>
      <c r="O60" s="72">
        <f t="shared" si="8"/>
        <v>69413284.383710384</v>
      </c>
      <c r="P60" s="13">
        <v>166666.66666666666</v>
      </c>
      <c r="Q60" s="72">
        <f t="shared" si="9"/>
        <v>103168.12835678834</v>
      </c>
      <c r="R60" s="13">
        <f>VLOOKUP(A60,'IDI 18MARZO'!B:D,3,0)</f>
        <v>238.14</v>
      </c>
      <c r="S60" s="72">
        <f t="shared" si="10"/>
        <v>10.20999999999998</v>
      </c>
    </row>
    <row r="61" spans="1:19" customFormat="1" x14ac:dyDescent="0.25">
      <c r="A61" s="88">
        <v>43834</v>
      </c>
      <c r="B61" s="84">
        <v>10</v>
      </c>
      <c r="C61" s="73">
        <f t="shared" si="2"/>
        <v>1.6666666666666666E-2</v>
      </c>
      <c r="D61" s="13">
        <f t="shared" si="3"/>
        <v>238.14</v>
      </c>
      <c r="E61" s="45">
        <f t="shared" si="11"/>
        <v>1133.0931175924036</v>
      </c>
      <c r="F61" s="82"/>
      <c r="G61" s="47">
        <f t="shared" si="0"/>
        <v>1133.0931175924036</v>
      </c>
      <c r="H61" s="57">
        <f t="shared" si="13"/>
        <v>269834.79502345499</v>
      </c>
      <c r="I61" s="58"/>
      <c r="J61" s="58">
        <f t="shared" si="5"/>
        <v>0</v>
      </c>
      <c r="K61" s="58">
        <f t="shared" si="6"/>
        <v>0</v>
      </c>
      <c r="L61" s="59">
        <f t="shared" si="1"/>
        <v>269834.79502345499</v>
      </c>
      <c r="M61" s="13">
        <f t="shared" si="12"/>
        <v>6798558.705554422</v>
      </c>
      <c r="N61" s="13">
        <f t="shared" si="7"/>
        <v>1619008770.1407299</v>
      </c>
      <c r="O61" s="72">
        <f t="shared" si="8"/>
        <v>0</v>
      </c>
      <c r="P61" s="13">
        <v>166666.66666666666</v>
      </c>
      <c r="Q61" s="72">
        <f t="shared" si="9"/>
        <v>103168.12835678834</v>
      </c>
      <c r="R61" s="13">
        <f>VLOOKUP(A61,'IDI 18MARZO'!B:D,3,0)</f>
        <v>238.14</v>
      </c>
      <c r="S61" s="72">
        <f t="shared" si="10"/>
        <v>0</v>
      </c>
    </row>
    <row r="62" spans="1:19" customFormat="1" x14ac:dyDescent="0.25">
      <c r="A62" s="88">
        <v>43835</v>
      </c>
      <c r="B62" s="84">
        <v>10</v>
      </c>
      <c r="C62" s="73">
        <f t="shared" si="2"/>
        <v>1.6666666666666666E-2</v>
      </c>
      <c r="D62" s="13">
        <f t="shared" si="3"/>
        <v>238.14</v>
      </c>
      <c r="E62" s="45">
        <f t="shared" si="11"/>
        <v>1133.0931175924036</v>
      </c>
      <c r="F62" s="82"/>
      <c r="G62" s="47">
        <f t="shared" si="0"/>
        <v>1133.0931175924036</v>
      </c>
      <c r="H62" s="57">
        <f t="shared" si="13"/>
        <v>269834.79502345499</v>
      </c>
      <c r="I62" s="58"/>
      <c r="J62" s="58">
        <f t="shared" si="5"/>
        <v>0</v>
      </c>
      <c r="K62" s="58">
        <f t="shared" si="6"/>
        <v>0</v>
      </c>
      <c r="L62" s="59">
        <f t="shared" si="1"/>
        <v>269834.79502345499</v>
      </c>
      <c r="M62" s="13">
        <f t="shared" si="12"/>
        <v>6798558.705554422</v>
      </c>
      <c r="N62" s="13">
        <f t="shared" si="7"/>
        <v>1619008770.1407299</v>
      </c>
      <c r="O62" s="72">
        <f t="shared" si="8"/>
        <v>0</v>
      </c>
      <c r="P62" s="13">
        <v>166666.66666666666</v>
      </c>
      <c r="Q62" s="72">
        <f t="shared" si="9"/>
        <v>103168.12835678834</v>
      </c>
      <c r="R62" s="13">
        <f>VLOOKUP(A62,'IDI 18MARZO'!B:D,3,0)</f>
        <v>238.14</v>
      </c>
      <c r="S62" s="72">
        <f t="shared" si="10"/>
        <v>0</v>
      </c>
    </row>
    <row r="63" spans="1:19" customFormat="1" x14ac:dyDescent="0.25">
      <c r="A63" s="88">
        <v>43836</v>
      </c>
      <c r="B63" s="84">
        <v>10</v>
      </c>
      <c r="C63" s="73">
        <f t="shared" si="2"/>
        <v>1.6666666666666666E-2</v>
      </c>
      <c r="D63" s="13">
        <f t="shared" si="3"/>
        <v>238.14</v>
      </c>
      <c r="E63" s="45">
        <f t="shared" si="11"/>
        <v>1133.0931175924036</v>
      </c>
      <c r="F63" s="82"/>
      <c r="G63" s="47">
        <f t="shared" si="0"/>
        <v>1133.0931175924036</v>
      </c>
      <c r="H63" s="57">
        <f t="shared" si="13"/>
        <v>269834.79502345499</v>
      </c>
      <c r="I63" s="58"/>
      <c r="J63" s="58">
        <f t="shared" si="5"/>
        <v>0</v>
      </c>
      <c r="K63" s="58">
        <f t="shared" si="6"/>
        <v>0</v>
      </c>
      <c r="L63" s="59">
        <f t="shared" si="1"/>
        <v>269834.79502345499</v>
      </c>
      <c r="M63" s="13">
        <f t="shared" si="12"/>
        <v>6798558.705554422</v>
      </c>
      <c r="N63" s="13">
        <f t="shared" si="7"/>
        <v>1619008770.1407299</v>
      </c>
      <c r="O63" s="72">
        <f t="shared" si="8"/>
        <v>0</v>
      </c>
      <c r="P63" s="13">
        <v>166666.66666666666</v>
      </c>
      <c r="Q63" s="72">
        <f t="shared" si="9"/>
        <v>103168.12835678834</v>
      </c>
      <c r="R63" s="13">
        <f>VLOOKUP(A63,'IDI 18MARZO'!B:D,3,0)</f>
        <v>238.14</v>
      </c>
      <c r="S63" s="72">
        <f t="shared" si="10"/>
        <v>0</v>
      </c>
    </row>
    <row r="64" spans="1:19" customFormat="1" x14ac:dyDescent="0.25">
      <c r="A64" s="88">
        <v>43837</v>
      </c>
      <c r="B64" s="84">
        <v>10</v>
      </c>
      <c r="C64" s="73">
        <f t="shared" si="2"/>
        <v>1.6666666666666666E-2</v>
      </c>
      <c r="D64" s="13">
        <f t="shared" si="3"/>
        <v>266.16000000000003</v>
      </c>
      <c r="E64" s="45">
        <f t="shared" si="11"/>
        <v>1133.0931175924036</v>
      </c>
      <c r="F64" s="82"/>
      <c r="G64" s="47">
        <f t="shared" si="0"/>
        <v>1133.0931175924036</v>
      </c>
      <c r="H64" s="57">
        <f t="shared" si="13"/>
        <v>301584.06417839415</v>
      </c>
      <c r="I64" s="58"/>
      <c r="J64" s="58">
        <f t="shared" si="5"/>
        <v>0</v>
      </c>
      <c r="K64" s="58">
        <f t="shared" si="6"/>
        <v>0</v>
      </c>
      <c r="L64" s="59">
        <f t="shared" si="1"/>
        <v>301584.06417839415</v>
      </c>
      <c r="M64" s="13">
        <f t="shared" si="12"/>
        <v>6798558.705554422</v>
      </c>
      <c r="N64" s="13">
        <f t="shared" si="7"/>
        <v>1809504385.0703652</v>
      </c>
      <c r="O64" s="72">
        <f t="shared" si="8"/>
        <v>190495614.92963529</v>
      </c>
      <c r="P64" s="13">
        <v>166666.66666666666</v>
      </c>
      <c r="Q64" s="72">
        <f t="shared" si="9"/>
        <v>134917.3975117275</v>
      </c>
      <c r="R64" s="13">
        <f>VLOOKUP(A64,'IDI 18MARZO'!B:D,3,0)</f>
        <v>266.16000000000003</v>
      </c>
      <c r="S64" s="72">
        <f t="shared" si="10"/>
        <v>28.020000000000039</v>
      </c>
    </row>
    <row r="65" spans="1:19" customFormat="1" x14ac:dyDescent="0.25">
      <c r="A65" s="88">
        <v>43838</v>
      </c>
      <c r="B65" s="84">
        <v>10</v>
      </c>
      <c r="C65" s="73">
        <f t="shared" si="2"/>
        <v>1.6666666666666666E-2</v>
      </c>
      <c r="D65" s="13">
        <f t="shared" si="3"/>
        <v>277.39999999999998</v>
      </c>
      <c r="E65" s="45">
        <f t="shared" si="11"/>
        <v>1133.0931175924036</v>
      </c>
      <c r="F65" s="82"/>
      <c r="G65" s="47">
        <f t="shared" si="0"/>
        <v>1133.0931175924036</v>
      </c>
      <c r="H65" s="57">
        <f t="shared" si="13"/>
        <v>314320.03082013276</v>
      </c>
      <c r="I65" s="58"/>
      <c r="J65" s="58">
        <f t="shared" si="5"/>
        <v>0</v>
      </c>
      <c r="K65" s="58">
        <f t="shared" si="6"/>
        <v>0</v>
      </c>
      <c r="L65" s="59">
        <f t="shared" si="1"/>
        <v>314320.03082013276</v>
      </c>
      <c r="M65" s="13">
        <f t="shared" si="12"/>
        <v>6798558.705554422</v>
      </c>
      <c r="N65" s="13">
        <f t="shared" si="7"/>
        <v>1885920184.9207964</v>
      </c>
      <c r="O65" s="72">
        <f t="shared" si="8"/>
        <v>76415799.850431204</v>
      </c>
      <c r="P65" s="13">
        <v>166666.66666666666</v>
      </c>
      <c r="Q65" s="72">
        <f t="shared" si="9"/>
        <v>147653.3641534661</v>
      </c>
      <c r="R65" s="13">
        <f>VLOOKUP(A65,'IDI 18MARZO'!B:D,3,0)</f>
        <v>277.39999999999998</v>
      </c>
      <c r="S65" s="72">
        <f t="shared" si="10"/>
        <v>11.239999999999952</v>
      </c>
    </row>
    <row r="66" spans="1:19" customFormat="1" x14ac:dyDescent="0.25">
      <c r="A66" s="88">
        <v>43839</v>
      </c>
      <c r="B66" s="84">
        <v>10</v>
      </c>
      <c r="C66" s="73">
        <f t="shared" si="2"/>
        <v>1.6666666666666666E-2</v>
      </c>
      <c r="D66" s="13">
        <f t="shared" si="3"/>
        <v>298.18</v>
      </c>
      <c r="E66" s="45">
        <f t="shared" si="11"/>
        <v>1133.0931175924036</v>
      </c>
      <c r="F66" s="82"/>
      <c r="G66" s="47">
        <f t="shared" si="0"/>
        <v>1133.0931175924036</v>
      </c>
      <c r="H66" s="57">
        <f t="shared" si="13"/>
        <v>337865.70580370293</v>
      </c>
      <c r="I66" s="58"/>
      <c r="J66" s="58">
        <f t="shared" si="5"/>
        <v>0</v>
      </c>
      <c r="K66" s="58">
        <f t="shared" si="6"/>
        <v>0</v>
      </c>
      <c r="L66" s="59">
        <f t="shared" si="1"/>
        <v>337865.70580370293</v>
      </c>
      <c r="M66" s="13">
        <f t="shared" si="12"/>
        <v>6798558.705554422</v>
      </c>
      <c r="N66" s="13">
        <f t="shared" si="7"/>
        <v>2027194234.8222177</v>
      </c>
      <c r="O66" s="72">
        <f t="shared" si="8"/>
        <v>141274049.90142131</v>
      </c>
      <c r="P66" s="13">
        <v>166666.66666666666</v>
      </c>
      <c r="Q66" s="72">
        <f t="shared" si="9"/>
        <v>171199.03913703628</v>
      </c>
      <c r="R66" s="13">
        <f>VLOOKUP(A66,'IDI 18MARZO'!B:D,3,0)</f>
        <v>298.18</v>
      </c>
      <c r="S66" s="72">
        <f t="shared" si="10"/>
        <v>20.78000000000003</v>
      </c>
    </row>
    <row r="67" spans="1:19" customFormat="1" x14ac:dyDescent="0.25">
      <c r="A67" s="88">
        <v>43840</v>
      </c>
      <c r="B67" s="84">
        <v>10</v>
      </c>
      <c r="C67" s="73">
        <f t="shared" si="2"/>
        <v>1.6666666666666666E-2</v>
      </c>
      <c r="D67" s="13">
        <f t="shared" si="3"/>
        <v>304.58</v>
      </c>
      <c r="E67" s="45">
        <f t="shared" si="11"/>
        <v>1133.0931175924036</v>
      </c>
      <c r="F67" s="82"/>
      <c r="G67" s="47">
        <f t="shared" si="0"/>
        <v>1133.0931175924036</v>
      </c>
      <c r="H67" s="57">
        <f t="shared" si="13"/>
        <v>345117.50175629428</v>
      </c>
      <c r="I67" s="58"/>
      <c r="J67" s="58">
        <f t="shared" si="5"/>
        <v>0</v>
      </c>
      <c r="K67" s="58">
        <f t="shared" si="6"/>
        <v>0</v>
      </c>
      <c r="L67" s="59">
        <f t="shared" si="1"/>
        <v>345117.50175629428</v>
      </c>
      <c r="M67" s="13">
        <f t="shared" si="12"/>
        <v>6798558.705554422</v>
      </c>
      <c r="N67" s="13">
        <f t="shared" si="7"/>
        <v>2070705010.5377657</v>
      </c>
      <c r="O67" s="72">
        <f t="shared" si="8"/>
        <v>43510775.715548038</v>
      </c>
      <c r="P67" s="13">
        <v>166666.66666666666</v>
      </c>
      <c r="Q67" s="72">
        <f t="shared" si="9"/>
        <v>178450.83508962762</v>
      </c>
      <c r="R67" s="13">
        <f>VLOOKUP(A67,'IDI 18MARZO'!B:D,3,0)</f>
        <v>304.58</v>
      </c>
      <c r="S67" s="72">
        <f t="shared" si="10"/>
        <v>6.3999999999999773</v>
      </c>
    </row>
    <row r="68" spans="1:19" customFormat="1" x14ac:dyDescent="0.25">
      <c r="A68" s="88">
        <v>43841</v>
      </c>
      <c r="B68" s="84">
        <v>10</v>
      </c>
      <c r="C68" s="73">
        <f t="shared" si="2"/>
        <v>1.6666666666666666E-2</v>
      </c>
      <c r="D68" s="13">
        <f t="shared" si="3"/>
        <v>304.58</v>
      </c>
      <c r="E68" s="45">
        <f t="shared" si="11"/>
        <v>1133.0931175924036</v>
      </c>
      <c r="F68" s="82"/>
      <c r="G68" s="47">
        <f t="shared" si="0"/>
        <v>1133.0931175924036</v>
      </c>
      <c r="H68" s="57">
        <f t="shared" si="13"/>
        <v>345117.50175629428</v>
      </c>
      <c r="I68" s="58"/>
      <c r="J68" s="58">
        <f t="shared" si="5"/>
        <v>0</v>
      </c>
      <c r="K68" s="58">
        <f t="shared" si="6"/>
        <v>0</v>
      </c>
      <c r="L68" s="59">
        <f t="shared" si="1"/>
        <v>345117.50175629428</v>
      </c>
      <c r="M68" s="13">
        <f t="shared" si="12"/>
        <v>6798558.705554422</v>
      </c>
      <c r="N68" s="13">
        <f t="shared" si="7"/>
        <v>2070705010.5377657</v>
      </c>
      <c r="O68" s="72">
        <f t="shared" si="8"/>
        <v>0</v>
      </c>
      <c r="P68" s="13">
        <v>166666.66666666666</v>
      </c>
      <c r="Q68" s="72">
        <f t="shared" si="9"/>
        <v>178450.83508962762</v>
      </c>
      <c r="R68" s="13">
        <f>VLOOKUP(A68,'IDI 18MARZO'!B:D,3,0)</f>
        <v>304.58</v>
      </c>
      <c r="S68" s="72">
        <f t="shared" si="10"/>
        <v>0</v>
      </c>
    </row>
    <row r="69" spans="1:19" customFormat="1" x14ac:dyDescent="0.25">
      <c r="A69" s="88">
        <v>43842</v>
      </c>
      <c r="B69" s="84">
        <v>10</v>
      </c>
      <c r="C69" s="73">
        <f t="shared" si="2"/>
        <v>1.6666666666666666E-2</v>
      </c>
      <c r="D69" s="13">
        <f t="shared" si="3"/>
        <v>304.58</v>
      </c>
      <c r="E69" s="45">
        <f t="shared" si="11"/>
        <v>1133.0931175924036</v>
      </c>
      <c r="F69" s="82"/>
      <c r="G69" s="47">
        <f t="shared" si="0"/>
        <v>1133.0931175924036</v>
      </c>
      <c r="H69" s="57">
        <f t="shared" si="13"/>
        <v>345117.50175629428</v>
      </c>
      <c r="I69" s="58"/>
      <c r="J69" s="58">
        <f t="shared" si="5"/>
        <v>0</v>
      </c>
      <c r="K69" s="58">
        <f t="shared" si="6"/>
        <v>0</v>
      </c>
      <c r="L69" s="59">
        <f t="shared" si="1"/>
        <v>345117.50175629428</v>
      </c>
      <c r="M69" s="13">
        <f t="shared" si="12"/>
        <v>6798558.705554422</v>
      </c>
      <c r="N69" s="13">
        <f t="shared" si="7"/>
        <v>2070705010.5377657</v>
      </c>
      <c r="O69" s="72">
        <f t="shared" si="8"/>
        <v>0</v>
      </c>
      <c r="P69" s="13">
        <v>166666.66666666666</v>
      </c>
      <c r="Q69" s="72">
        <f t="shared" si="9"/>
        <v>178450.83508962762</v>
      </c>
      <c r="R69" s="13">
        <f>VLOOKUP(A69,'IDI 18MARZO'!B:D,3,0)</f>
        <v>304.58</v>
      </c>
      <c r="S69" s="72">
        <f t="shared" si="10"/>
        <v>0</v>
      </c>
    </row>
    <row r="70" spans="1:19" customFormat="1" x14ac:dyDescent="0.25">
      <c r="A70" s="88">
        <v>43843</v>
      </c>
      <c r="B70" s="84">
        <v>10</v>
      </c>
      <c r="C70" s="73">
        <f t="shared" si="2"/>
        <v>1.6666666666666666E-2</v>
      </c>
      <c r="D70" s="13">
        <f t="shared" si="3"/>
        <v>328.61</v>
      </c>
      <c r="E70" s="45">
        <f t="shared" si="11"/>
        <v>1133.0931175924036</v>
      </c>
      <c r="F70" s="82"/>
      <c r="G70" s="47">
        <f t="shared" si="0"/>
        <v>1133.0931175924036</v>
      </c>
      <c r="H70" s="57">
        <f t="shared" si="13"/>
        <v>372345.72937203979</v>
      </c>
      <c r="I70" s="58"/>
      <c r="J70" s="58">
        <f t="shared" si="5"/>
        <v>0</v>
      </c>
      <c r="K70" s="58">
        <f t="shared" si="6"/>
        <v>0</v>
      </c>
      <c r="L70" s="59">
        <f t="shared" si="1"/>
        <v>372345.72937203979</v>
      </c>
      <c r="M70" s="13">
        <f t="shared" si="12"/>
        <v>6798558.705554422</v>
      </c>
      <c r="N70" s="13">
        <f t="shared" si="7"/>
        <v>2234074376.2322388</v>
      </c>
      <c r="O70" s="72">
        <f t="shared" si="8"/>
        <v>163369365.69447303</v>
      </c>
      <c r="P70" s="13">
        <v>166666.66666666666</v>
      </c>
      <c r="Q70" s="72">
        <f t="shared" si="9"/>
        <v>205679.06270537313</v>
      </c>
      <c r="R70" s="13">
        <f>VLOOKUP(A70,'IDI 18MARZO'!B:D,3,0)</f>
        <v>328.61</v>
      </c>
      <c r="S70" s="72">
        <f t="shared" si="10"/>
        <v>24.03000000000003</v>
      </c>
    </row>
    <row r="71" spans="1:19" customFormat="1" x14ac:dyDescent="0.25">
      <c r="A71" s="88">
        <v>43844</v>
      </c>
      <c r="B71" s="84">
        <v>10</v>
      </c>
      <c r="C71" s="73">
        <f t="shared" si="2"/>
        <v>1.6666666666666666E-2</v>
      </c>
      <c r="D71" s="13">
        <f t="shared" si="3"/>
        <v>331.54</v>
      </c>
      <c r="E71" s="45">
        <f t="shared" si="11"/>
        <v>1133.0931175924036</v>
      </c>
      <c r="F71" s="82"/>
      <c r="G71" s="47">
        <f t="shared" si="0"/>
        <v>1133.0931175924036</v>
      </c>
      <c r="H71" s="57">
        <f t="shared" si="13"/>
        <v>375665.69220658549</v>
      </c>
      <c r="I71" s="58"/>
      <c r="J71" s="58">
        <f t="shared" si="5"/>
        <v>0</v>
      </c>
      <c r="K71" s="58">
        <f t="shared" si="6"/>
        <v>0</v>
      </c>
      <c r="L71" s="59">
        <f t="shared" si="1"/>
        <v>375665.69220658549</v>
      </c>
      <c r="M71" s="13">
        <f t="shared" si="12"/>
        <v>6798558.705554422</v>
      </c>
      <c r="N71" s="13">
        <f t="shared" si="7"/>
        <v>2253994153.2395134</v>
      </c>
      <c r="O71" s="72">
        <f t="shared" si="8"/>
        <v>19919777.007274628</v>
      </c>
      <c r="P71" s="13">
        <v>166666.66666666666</v>
      </c>
      <c r="Q71" s="72">
        <f t="shared" si="9"/>
        <v>208999.02553991883</v>
      </c>
      <c r="R71" s="13">
        <f>VLOOKUP(A71,'IDI 18MARZO'!B:D,3,0)</f>
        <v>331.54</v>
      </c>
      <c r="S71" s="72">
        <f t="shared" si="10"/>
        <v>2.9300000000000068</v>
      </c>
    </row>
    <row r="72" spans="1:19" customFormat="1" x14ac:dyDescent="0.25">
      <c r="A72" s="88">
        <v>43845</v>
      </c>
      <c r="B72" s="84">
        <v>10</v>
      </c>
      <c r="C72" s="73">
        <f t="shared" si="2"/>
        <v>1.6666666666666666E-2</v>
      </c>
      <c r="D72" s="13">
        <f t="shared" si="3"/>
        <v>345.53</v>
      </c>
      <c r="E72" s="45">
        <f t="shared" si="11"/>
        <v>1133.0931175924036</v>
      </c>
      <c r="F72" s="82"/>
      <c r="G72" s="47">
        <f t="shared" si="0"/>
        <v>1133.0931175924036</v>
      </c>
      <c r="H72" s="57">
        <f t="shared" si="13"/>
        <v>391517.66492170317</v>
      </c>
      <c r="I72" s="58"/>
      <c r="J72" s="58">
        <f t="shared" si="5"/>
        <v>0</v>
      </c>
      <c r="K72" s="58">
        <f t="shared" si="6"/>
        <v>0</v>
      </c>
      <c r="L72" s="59">
        <f t="shared" si="1"/>
        <v>391517.66492170317</v>
      </c>
      <c r="M72" s="13">
        <f t="shared" si="12"/>
        <v>6798558.705554422</v>
      </c>
      <c r="N72" s="13">
        <f t="shared" si="7"/>
        <v>2349105989.5302191</v>
      </c>
      <c r="O72" s="72">
        <f t="shared" si="8"/>
        <v>95111836.290705681</v>
      </c>
      <c r="P72" s="13">
        <v>166666.66666666666</v>
      </c>
      <c r="Q72" s="72">
        <f t="shared" si="9"/>
        <v>224850.99825503651</v>
      </c>
      <c r="R72" s="13">
        <f>VLOOKUP(A72,'IDI 18MARZO'!B:D,3,0)</f>
        <v>345.53</v>
      </c>
      <c r="S72" s="72">
        <f t="shared" si="10"/>
        <v>13.989999999999952</v>
      </c>
    </row>
    <row r="73" spans="1:19" customFormat="1" x14ac:dyDescent="0.25">
      <c r="A73" s="88">
        <v>43846</v>
      </c>
      <c r="B73" s="84">
        <v>10</v>
      </c>
      <c r="C73" s="73">
        <f t="shared" si="2"/>
        <v>1.6666666666666666E-2</v>
      </c>
      <c r="D73" s="13">
        <f t="shared" si="3"/>
        <v>348.13</v>
      </c>
      <c r="E73" s="45">
        <f t="shared" si="11"/>
        <v>1133.0931175924036</v>
      </c>
      <c r="F73" s="82"/>
      <c r="G73" s="47">
        <f t="shared" si="0"/>
        <v>1133.0931175924036</v>
      </c>
      <c r="H73" s="57">
        <f t="shared" si="13"/>
        <v>394463.70702744345</v>
      </c>
      <c r="I73" s="58"/>
      <c r="J73" s="58">
        <f t="shared" si="5"/>
        <v>0</v>
      </c>
      <c r="K73" s="58">
        <f t="shared" si="6"/>
        <v>0</v>
      </c>
      <c r="L73" s="59">
        <f t="shared" si="1"/>
        <v>394463.70702744345</v>
      </c>
      <c r="M73" s="13">
        <f t="shared" si="12"/>
        <v>6798558.705554422</v>
      </c>
      <c r="N73" s="13">
        <f t="shared" si="7"/>
        <v>2366782242.1646609</v>
      </c>
      <c r="O73" s="72">
        <f t="shared" si="8"/>
        <v>17676252.634441853</v>
      </c>
      <c r="P73" s="13">
        <v>166666.66666666666</v>
      </c>
      <c r="Q73" s="72">
        <f t="shared" si="9"/>
        <v>227797.04036077679</v>
      </c>
      <c r="R73" s="13">
        <f>VLOOKUP(A73,'IDI 18MARZO'!B:D,3,0)</f>
        <v>348.13</v>
      </c>
      <c r="S73" s="72">
        <f t="shared" si="10"/>
        <v>2.6000000000000227</v>
      </c>
    </row>
    <row r="74" spans="1:19" customFormat="1" x14ac:dyDescent="0.25">
      <c r="A74" s="88">
        <v>43847</v>
      </c>
      <c r="B74" s="84">
        <v>10</v>
      </c>
      <c r="C74" s="73">
        <f t="shared" si="2"/>
        <v>1.6666666666666666E-2</v>
      </c>
      <c r="D74" s="13">
        <f t="shared" si="3"/>
        <v>353.12</v>
      </c>
      <c r="E74" s="45">
        <f t="shared" si="11"/>
        <v>1133.0931175924036</v>
      </c>
      <c r="F74" s="82"/>
      <c r="G74" s="47">
        <f t="shared" si="0"/>
        <v>1133.0931175924036</v>
      </c>
      <c r="H74" s="57">
        <f t="shared" si="13"/>
        <v>400117.84168422956</v>
      </c>
      <c r="I74" s="58"/>
      <c r="J74" s="58">
        <f t="shared" si="5"/>
        <v>0</v>
      </c>
      <c r="K74" s="58">
        <f t="shared" si="6"/>
        <v>0</v>
      </c>
      <c r="L74" s="59">
        <f t="shared" si="1"/>
        <v>400117.84168422956</v>
      </c>
      <c r="M74" s="13">
        <f t="shared" si="12"/>
        <v>6798558.705554422</v>
      </c>
      <c r="N74" s="13">
        <f t="shared" si="7"/>
        <v>2400707050.1053777</v>
      </c>
      <c r="O74" s="72">
        <f t="shared" si="8"/>
        <v>33924807.940716743</v>
      </c>
      <c r="P74" s="13">
        <v>166666.66666666666</v>
      </c>
      <c r="Q74" s="72">
        <f t="shared" si="9"/>
        <v>233451.1750175629</v>
      </c>
      <c r="R74" s="13">
        <f>VLOOKUP(A74,'IDI 18MARZO'!B:D,3,0)</f>
        <v>353.12</v>
      </c>
      <c r="S74" s="72">
        <f t="shared" si="10"/>
        <v>4.9900000000000091</v>
      </c>
    </row>
    <row r="75" spans="1:19" customFormat="1" x14ac:dyDescent="0.25">
      <c r="A75" s="88">
        <v>43848</v>
      </c>
      <c r="B75" s="84">
        <v>10</v>
      </c>
      <c r="C75" s="73">
        <f t="shared" si="2"/>
        <v>1.6666666666666666E-2</v>
      </c>
      <c r="D75" s="13">
        <f t="shared" si="3"/>
        <v>353.12</v>
      </c>
      <c r="E75" s="45">
        <f t="shared" si="11"/>
        <v>1133.0931175924036</v>
      </c>
      <c r="F75" s="82"/>
      <c r="G75" s="47">
        <f t="shared" si="0"/>
        <v>1133.0931175924036</v>
      </c>
      <c r="H75" s="57">
        <f t="shared" si="13"/>
        <v>400117.84168422956</v>
      </c>
      <c r="I75" s="58"/>
      <c r="J75" s="58">
        <f t="shared" si="5"/>
        <v>0</v>
      </c>
      <c r="K75" s="58">
        <f t="shared" si="6"/>
        <v>0</v>
      </c>
      <c r="L75" s="59">
        <f t="shared" si="1"/>
        <v>400117.84168422956</v>
      </c>
      <c r="M75" s="13">
        <f t="shared" si="12"/>
        <v>6798558.705554422</v>
      </c>
      <c r="N75" s="13">
        <f t="shared" si="7"/>
        <v>2400707050.1053777</v>
      </c>
      <c r="O75" s="72">
        <f t="shared" si="8"/>
        <v>0</v>
      </c>
      <c r="P75" s="13">
        <v>166666.66666666666</v>
      </c>
      <c r="Q75" s="72">
        <f t="shared" si="9"/>
        <v>233451.1750175629</v>
      </c>
      <c r="R75" s="13">
        <f>VLOOKUP(A75,'IDI 18MARZO'!B:D,3,0)</f>
        <v>353.12</v>
      </c>
      <c r="S75" s="72">
        <f t="shared" si="10"/>
        <v>0</v>
      </c>
    </row>
    <row r="76" spans="1:19" customFormat="1" x14ac:dyDescent="0.25">
      <c r="A76" s="88">
        <v>43849</v>
      </c>
      <c r="B76" s="84">
        <v>10</v>
      </c>
      <c r="C76" s="73">
        <f t="shared" si="2"/>
        <v>1.6666666666666666E-2</v>
      </c>
      <c r="D76" s="13">
        <f t="shared" si="3"/>
        <v>353.12</v>
      </c>
      <c r="E76" s="45">
        <f t="shared" si="11"/>
        <v>1133.0931175924036</v>
      </c>
      <c r="F76" s="82"/>
      <c r="G76" s="47">
        <f t="shared" si="0"/>
        <v>1133.0931175924036</v>
      </c>
      <c r="H76" s="57">
        <f t="shared" si="13"/>
        <v>400117.84168422956</v>
      </c>
      <c r="I76" s="58"/>
      <c r="J76" s="58">
        <f t="shared" si="5"/>
        <v>0</v>
      </c>
      <c r="K76" s="58">
        <f t="shared" si="6"/>
        <v>0</v>
      </c>
      <c r="L76" s="59">
        <f t="shared" si="1"/>
        <v>400117.84168422956</v>
      </c>
      <c r="M76" s="13">
        <f t="shared" si="12"/>
        <v>6798558.705554422</v>
      </c>
      <c r="N76" s="13">
        <f t="shared" si="7"/>
        <v>2400707050.1053777</v>
      </c>
      <c r="O76" s="72">
        <f t="shared" si="8"/>
        <v>0</v>
      </c>
      <c r="P76" s="13">
        <v>166666.66666666666</v>
      </c>
      <c r="Q76" s="72">
        <f t="shared" si="9"/>
        <v>233451.1750175629</v>
      </c>
      <c r="R76" s="13">
        <f>VLOOKUP(A76,'IDI 18MARZO'!B:D,3,0)</f>
        <v>353.12</v>
      </c>
      <c r="S76" s="72">
        <f t="shared" si="10"/>
        <v>0</v>
      </c>
    </row>
    <row r="77" spans="1:19" customFormat="1" x14ac:dyDescent="0.25">
      <c r="A77" s="88">
        <v>43850</v>
      </c>
      <c r="B77" s="84">
        <v>10</v>
      </c>
      <c r="C77" s="73">
        <f t="shared" si="2"/>
        <v>1.6666666666666666E-2</v>
      </c>
      <c r="D77" s="13">
        <f t="shared" si="3"/>
        <v>353.12</v>
      </c>
      <c r="E77" s="45">
        <f t="shared" si="11"/>
        <v>1133.0931175924036</v>
      </c>
      <c r="F77" s="82"/>
      <c r="G77" s="47">
        <f t="shared" si="0"/>
        <v>1133.0931175924036</v>
      </c>
      <c r="H77" s="57">
        <f t="shared" si="13"/>
        <v>400117.84168422956</v>
      </c>
      <c r="I77" s="58"/>
      <c r="J77" s="58">
        <f t="shared" si="5"/>
        <v>0</v>
      </c>
      <c r="K77" s="58">
        <f t="shared" si="6"/>
        <v>0</v>
      </c>
      <c r="L77" s="59">
        <f t="shared" si="1"/>
        <v>400117.84168422956</v>
      </c>
      <c r="M77" s="13">
        <f t="shared" si="12"/>
        <v>6798558.705554422</v>
      </c>
      <c r="N77" s="13">
        <f t="shared" si="7"/>
        <v>2400707050.1053777</v>
      </c>
      <c r="O77" s="72">
        <f t="shared" si="8"/>
        <v>0</v>
      </c>
      <c r="P77" s="13">
        <v>166666.66666666666</v>
      </c>
      <c r="Q77" s="72">
        <f t="shared" si="9"/>
        <v>233451.1750175629</v>
      </c>
      <c r="R77" s="13">
        <f>VLOOKUP(A77,'IDI 18MARZO'!B:D,3,0)</f>
        <v>353.12</v>
      </c>
      <c r="S77" s="72">
        <f t="shared" si="10"/>
        <v>0</v>
      </c>
    </row>
    <row r="78" spans="1:19" customFormat="1" x14ac:dyDescent="0.25">
      <c r="A78" s="88">
        <v>43851</v>
      </c>
      <c r="B78" s="84">
        <v>10</v>
      </c>
      <c r="C78" s="73">
        <f t="shared" si="2"/>
        <v>1.6666666666666666E-2</v>
      </c>
      <c r="D78" s="13">
        <f t="shared" si="3"/>
        <v>362.46</v>
      </c>
      <c r="E78" s="45">
        <f t="shared" si="11"/>
        <v>1133.0931175924036</v>
      </c>
      <c r="F78" s="82"/>
      <c r="G78" s="47">
        <f t="shared" ref="G78:G101" si="14">+E78+F78</f>
        <v>1133.0931175924036</v>
      </c>
      <c r="H78" s="57">
        <f t="shared" si="13"/>
        <v>410700.93140254257</v>
      </c>
      <c r="I78" s="58"/>
      <c r="J78" s="58">
        <f t="shared" si="5"/>
        <v>0</v>
      </c>
      <c r="K78" s="58">
        <f t="shared" si="6"/>
        <v>0</v>
      </c>
      <c r="L78" s="59">
        <f t="shared" ref="L78:L101" si="15">+H78+K78</f>
        <v>410700.93140254257</v>
      </c>
      <c r="M78" s="13">
        <f t="shared" si="12"/>
        <v>6798558.705554422</v>
      </c>
      <c r="N78" s="13">
        <f t="shared" si="7"/>
        <v>2464205588.4152555</v>
      </c>
      <c r="O78" s="72">
        <f t="shared" si="8"/>
        <v>63498538.309877872</v>
      </c>
      <c r="P78" s="13">
        <v>166666.66666666666</v>
      </c>
      <c r="Q78" s="72">
        <f t="shared" si="9"/>
        <v>244034.26473587591</v>
      </c>
      <c r="R78" s="13">
        <f>VLOOKUP(A78,'IDI 18MARZO'!B:D,3,0)</f>
        <v>362.46</v>
      </c>
      <c r="S78" s="72">
        <f t="shared" si="10"/>
        <v>9.339999999999975</v>
      </c>
    </row>
    <row r="79" spans="1:19" customFormat="1" x14ac:dyDescent="0.25">
      <c r="A79" s="88">
        <v>43852</v>
      </c>
      <c r="B79" s="84">
        <v>10</v>
      </c>
      <c r="C79" s="73">
        <f t="shared" ref="C79:C132" si="16">+C78</f>
        <v>1.6666666666666666E-2</v>
      </c>
      <c r="D79" s="13">
        <f t="shared" ref="D79:D101" si="17">IF(R79&gt;$D$13,R79,$D$13)</f>
        <v>359</v>
      </c>
      <c r="E79" s="45">
        <f t="shared" si="11"/>
        <v>1133.0931175924036</v>
      </c>
      <c r="F79" s="82"/>
      <c r="G79" s="47">
        <f t="shared" si="14"/>
        <v>1133.0931175924036</v>
      </c>
      <c r="H79" s="57">
        <f t="shared" si="13"/>
        <v>406780.42921567289</v>
      </c>
      <c r="I79" s="58"/>
      <c r="J79" s="58">
        <f t="shared" ref="J79:J101" si="18">+F79*D79-I79</f>
        <v>0</v>
      </c>
      <c r="K79" s="58">
        <f t="shared" ref="K79:K101" si="19">+F79*D79</f>
        <v>0</v>
      </c>
      <c r="L79" s="59">
        <f t="shared" si="15"/>
        <v>406780.42921567289</v>
      </c>
      <c r="M79" s="13">
        <f t="shared" si="12"/>
        <v>6798558.705554422</v>
      </c>
      <c r="N79" s="13">
        <f t="shared" ref="N79:N101" si="20">+M79*D79</f>
        <v>2440682575.2940373</v>
      </c>
      <c r="O79" s="72">
        <f t="shared" ref="O79:O101" si="21">+N79-N78</f>
        <v>-23523013.121218204</v>
      </c>
      <c r="P79" s="13">
        <v>166666.66666666666</v>
      </c>
      <c r="Q79" s="72">
        <f t="shared" ref="Q79:Q101" si="22">H79-P79</f>
        <v>240113.76254900623</v>
      </c>
      <c r="R79" s="13">
        <f>VLOOKUP(A79,'IDI 18MARZO'!B:D,3,0)</f>
        <v>359</v>
      </c>
      <c r="S79" s="72">
        <f t="shared" ref="S79:S101" si="23">R79-R78</f>
        <v>-3.4599999999999795</v>
      </c>
    </row>
    <row r="80" spans="1:19" customFormat="1" x14ac:dyDescent="0.25">
      <c r="A80" s="88">
        <v>43853</v>
      </c>
      <c r="B80" s="84">
        <v>10</v>
      </c>
      <c r="C80" s="73">
        <f t="shared" si="16"/>
        <v>1.6666666666666666E-2</v>
      </c>
      <c r="D80" s="13">
        <f t="shared" si="17"/>
        <v>360.32</v>
      </c>
      <c r="E80" s="45">
        <f t="shared" ref="E80:E101" si="24">+M79*C80/100</f>
        <v>1133.0931175924036</v>
      </c>
      <c r="F80" s="82"/>
      <c r="G80" s="47">
        <f t="shared" si="14"/>
        <v>1133.0931175924036</v>
      </c>
      <c r="H80" s="57">
        <f t="shared" si="13"/>
        <v>408276.11213089485</v>
      </c>
      <c r="I80" s="58"/>
      <c r="J80" s="58">
        <f t="shared" si="18"/>
        <v>0</v>
      </c>
      <c r="K80" s="58">
        <f t="shared" si="19"/>
        <v>0</v>
      </c>
      <c r="L80" s="59">
        <f t="shared" si="15"/>
        <v>408276.11213089485</v>
      </c>
      <c r="M80" s="13">
        <f t="shared" ref="M80:M101" si="25">+M79-F80</f>
        <v>6798558.705554422</v>
      </c>
      <c r="N80" s="13">
        <f t="shared" si="20"/>
        <v>2449656672.7853694</v>
      </c>
      <c r="O80" s="72">
        <f t="shared" si="21"/>
        <v>8974097.4913320541</v>
      </c>
      <c r="P80" s="13">
        <v>166666.66666666666</v>
      </c>
      <c r="Q80" s="72">
        <f t="shared" si="22"/>
        <v>241609.44546422819</v>
      </c>
      <c r="R80" s="13">
        <f>VLOOKUP(A80,'IDI 18MARZO'!B:D,3,0)</f>
        <v>360.32</v>
      </c>
      <c r="S80" s="72">
        <f t="shared" si="23"/>
        <v>1.3199999999999932</v>
      </c>
    </row>
    <row r="81" spans="1:19" customFormat="1" x14ac:dyDescent="0.25">
      <c r="A81" s="88">
        <v>43854</v>
      </c>
      <c r="B81" s="84">
        <v>10</v>
      </c>
      <c r="C81" s="73">
        <f t="shared" si="16"/>
        <v>1.6666666666666666E-2</v>
      </c>
      <c r="D81" s="13">
        <f t="shared" si="17"/>
        <v>362.97</v>
      </c>
      <c r="E81" s="45">
        <f t="shared" si="24"/>
        <v>1133.0931175924036</v>
      </c>
      <c r="F81" s="82"/>
      <c r="G81" s="47">
        <f t="shared" si="14"/>
        <v>1133.0931175924036</v>
      </c>
      <c r="H81" s="57">
        <f t="shared" si="13"/>
        <v>411278.80889251479</v>
      </c>
      <c r="I81" s="58"/>
      <c r="J81" s="58">
        <f t="shared" si="18"/>
        <v>0</v>
      </c>
      <c r="K81" s="58">
        <f t="shared" si="19"/>
        <v>0</v>
      </c>
      <c r="L81" s="59">
        <f t="shared" si="15"/>
        <v>411278.80889251479</v>
      </c>
      <c r="M81" s="13">
        <f t="shared" si="25"/>
        <v>6798558.705554422</v>
      </c>
      <c r="N81" s="13">
        <f t="shared" si="20"/>
        <v>2467672853.3550887</v>
      </c>
      <c r="O81" s="72">
        <f t="shared" si="21"/>
        <v>18016180.569719315</v>
      </c>
      <c r="P81" s="13">
        <v>166666.66666666666</v>
      </c>
      <c r="Q81" s="72">
        <f t="shared" si="22"/>
        <v>244612.14222584813</v>
      </c>
      <c r="R81" s="13">
        <f>VLOOKUP(A81,'IDI 18MARZO'!B:D,3,0)</f>
        <v>362.97</v>
      </c>
      <c r="S81" s="72">
        <f t="shared" si="23"/>
        <v>2.6500000000000341</v>
      </c>
    </row>
    <row r="82" spans="1:19" customFormat="1" x14ac:dyDescent="0.25">
      <c r="A82" s="88">
        <v>43855</v>
      </c>
      <c r="B82" s="84">
        <v>10</v>
      </c>
      <c r="C82" s="73">
        <f t="shared" si="16"/>
        <v>1.6666666666666666E-2</v>
      </c>
      <c r="D82" s="13">
        <f t="shared" si="17"/>
        <v>362.97</v>
      </c>
      <c r="E82" s="45">
        <f t="shared" si="24"/>
        <v>1133.0931175924036</v>
      </c>
      <c r="F82" s="82"/>
      <c r="G82" s="47">
        <f t="shared" si="14"/>
        <v>1133.0931175924036</v>
      </c>
      <c r="H82" s="57">
        <f t="shared" si="13"/>
        <v>411278.80889251479</v>
      </c>
      <c r="I82" s="58"/>
      <c r="J82" s="58">
        <f t="shared" si="18"/>
        <v>0</v>
      </c>
      <c r="K82" s="58">
        <f t="shared" si="19"/>
        <v>0</v>
      </c>
      <c r="L82" s="59">
        <f t="shared" si="15"/>
        <v>411278.80889251479</v>
      </c>
      <c r="M82" s="13">
        <f t="shared" si="25"/>
        <v>6798558.705554422</v>
      </c>
      <c r="N82" s="13">
        <f t="shared" si="20"/>
        <v>2467672853.3550887</v>
      </c>
      <c r="O82" s="72">
        <f t="shared" si="21"/>
        <v>0</v>
      </c>
      <c r="P82" s="13">
        <v>166666.66666666666</v>
      </c>
      <c r="Q82" s="72">
        <f t="shared" si="22"/>
        <v>244612.14222584813</v>
      </c>
      <c r="R82" s="13">
        <f>VLOOKUP(A82,'IDI 18MARZO'!B:D,3,0)</f>
        <v>362.97</v>
      </c>
      <c r="S82" s="72">
        <f t="shared" si="23"/>
        <v>0</v>
      </c>
    </row>
    <row r="83" spans="1:19" customFormat="1" x14ac:dyDescent="0.25">
      <c r="A83" s="88">
        <v>43856</v>
      </c>
      <c r="B83" s="84">
        <v>10</v>
      </c>
      <c r="C83" s="73">
        <f t="shared" si="16"/>
        <v>1.6666666666666666E-2</v>
      </c>
      <c r="D83" s="13">
        <f t="shared" si="17"/>
        <v>362.97</v>
      </c>
      <c r="E83" s="45">
        <f t="shared" si="24"/>
        <v>1133.0931175924036</v>
      </c>
      <c r="F83" s="82"/>
      <c r="G83" s="47">
        <f t="shared" si="14"/>
        <v>1133.0931175924036</v>
      </c>
      <c r="H83" s="57">
        <f t="shared" si="13"/>
        <v>411278.80889251479</v>
      </c>
      <c r="I83" s="58"/>
      <c r="J83" s="58">
        <f t="shared" si="18"/>
        <v>0</v>
      </c>
      <c r="K83" s="58">
        <f t="shared" si="19"/>
        <v>0</v>
      </c>
      <c r="L83" s="59">
        <f t="shared" si="15"/>
        <v>411278.80889251479</v>
      </c>
      <c r="M83" s="13">
        <f t="shared" si="25"/>
        <v>6798558.705554422</v>
      </c>
      <c r="N83" s="13">
        <f t="shared" si="20"/>
        <v>2467672853.3550887</v>
      </c>
      <c r="O83" s="72">
        <f t="shared" si="21"/>
        <v>0</v>
      </c>
      <c r="P83" s="13">
        <v>166666.66666666666</v>
      </c>
      <c r="Q83" s="72">
        <f t="shared" si="22"/>
        <v>244612.14222584813</v>
      </c>
      <c r="R83" s="13">
        <f>VLOOKUP(A83,'IDI 18MARZO'!B:D,3,0)</f>
        <v>362.97</v>
      </c>
      <c r="S83" s="72">
        <f t="shared" si="23"/>
        <v>0</v>
      </c>
    </row>
    <row r="84" spans="1:19" customFormat="1" x14ac:dyDescent="0.25">
      <c r="A84" s="88">
        <v>43857</v>
      </c>
      <c r="B84" s="84">
        <v>10</v>
      </c>
      <c r="C84" s="73">
        <f t="shared" si="16"/>
        <v>1.6666666666666666E-2</v>
      </c>
      <c r="D84" s="13">
        <f t="shared" si="17"/>
        <v>365.08</v>
      </c>
      <c r="E84" s="45">
        <f t="shared" si="24"/>
        <v>1133.0931175924036</v>
      </c>
      <c r="F84" s="82"/>
      <c r="G84" s="47">
        <f t="shared" si="14"/>
        <v>1133.0931175924036</v>
      </c>
      <c r="H84" s="57">
        <f t="shared" si="13"/>
        <v>413669.63537063467</v>
      </c>
      <c r="I84" s="58"/>
      <c r="J84" s="58">
        <f t="shared" si="18"/>
        <v>0</v>
      </c>
      <c r="K84" s="58">
        <f t="shared" si="19"/>
        <v>0</v>
      </c>
      <c r="L84" s="59">
        <f t="shared" si="15"/>
        <v>413669.63537063467</v>
      </c>
      <c r="M84" s="13">
        <f t="shared" si="25"/>
        <v>6798558.705554422</v>
      </c>
      <c r="N84" s="13">
        <f t="shared" si="20"/>
        <v>2482017812.2238083</v>
      </c>
      <c r="O84" s="72">
        <f t="shared" si="21"/>
        <v>14344958.868719578</v>
      </c>
      <c r="P84" s="13">
        <v>166666.66666666666</v>
      </c>
      <c r="Q84" s="72">
        <f t="shared" si="22"/>
        <v>247002.96870396801</v>
      </c>
      <c r="R84" s="13">
        <f>VLOOKUP(A84,'IDI 18MARZO'!B:D,3,0)</f>
        <v>365.08</v>
      </c>
      <c r="S84" s="72">
        <f t="shared" si="23"/>
        <v>2.1099999999999568</v>
      </c>
    </row>
    <row r="85" spans="1:19" customFormat="1" x14ac:dyDescent="0.25">
      <c r="A85" s="88">
        <v>43858</v>
      </c>
      <c r="B85" s="84">
        <v>10</v>
      </c>
      <c r="C85" s="73">
        <f t="shared" si="16"/>
        <v>1.6666666666666666E-2</v>
      </c>
      <c r="D85" s="13">
        <f t="shared" si="17"/>
        <v>363.95</v>
      </c>
      <c r="E85" s="45">
        <f t="shared" si="24"/>
        <v>1133.0931175924036</v>
      </c>
      <c r="F85" s="82"/>
      <c r="G85" s="47">
        <f t="shared" si="14"/>
        <v>1133.0931175924036</v>
      </c>
      <c r="H85" s="57">
        <f t="shared" si="13"/>
        <v>412389.24014775525</v>
      </c>
      <c r="I85" s="58"/>
      <c r="J85" s="58">
        <f t="shared" si="18"/>
        <v>0</v>
      </c>
      <c r="K85" s="58">
        <f t="shared" si="19"/>
        <v>0</v>
      </c>
      <c r="L85" s="59">
        <f t="shared" si="15"/>
        <v>412389.24014775525</v>
      </c>
      <c r="M85" s="13">
        <f t="shared" si="25"/>
        <v>6798558.705554422</v>
      </c>
      <c r="N85" s="13">
        <f t="shared" si="20"/>
        <v>2474335440.8865318</v>
      </c>
      <c r="O85" s="72">
        <f t="shared" si="21"/>
        <v>-7682371.3372764587</v>
      </c>
      <c r="P85" s="13">
        <v>166666.66666666666</v>
      </c>
      <c r="Q85" s="72">
        <f t="shared" si="22"/>
        <v>245722.57348108859</v>
      </c>
      <c r="R85" s="13">
        <f>VLOOKUP(A85,'IDI 18MARZO'!B:D,3,0)</f>
        <v>363.95</v>
      </c>
      <c r="S85" s="72">
        <f t="shared" si="23"/>
        <v>-1.1299999999999955</v>
      </c>
    </row>
    <row r="86" spans="1:19" customFormat="1" x14ac:dyDescent="0.25">
      <c r="A86" s="88">
        <v>43859</v>
      </c>
      <c r="B86" s="84">
        <v>10</v>
      </c>
      <c r="C86" s="73">
        <f t="shared" si="16"/>
        <v>1.6666666666666666E-2</v>
      </c>
      <c r="D86" s="13">
        <f t="shared" si="17"/>
        <v>365.34</v>
      </c>
      <c r="E86" s="45">
        <f t="shared" si="24"/>
        <v>1133.0931175924036</v>
      </c>
      <c r="F86" s="82"/>
      <c r="G86" s="47">
        <f t="shared" si="14"/>
        <v>1133.0931175924036</v>
      </c>
      <c r="H86" s="57">
        <f t="shared" si="13"/>
        <v>413964.23958120868</v>
      </c>
      <c r="I86" s="58"/>
      <c r="J86" s="58">
        <f t="shared" si="18"/>
        <v>0</v>
      </c>
      <c r="K86" s="58">
        <f t="shared" si="19"/>
        <v>0</v>
      </c>
      <c r="L86" s="59">
        <f t="shared" si="15"/>
        <v>413964.23958120868</v>
      </c>
      <c r="M86" s="13">
        <f t="shared" si="25"/>
        <v>6798558.705554422</v>
      </c>
      <c r="N86" s="13">
        <f t="shared" si="20"/>
        <v>2483785437.4872522</v>
      </c>
      <c r="O86" s="72">
        <f t="shared" si="21"/>
        <v>9449996.6007204056</v>
      </c>
      <c r="P86" s="13">
        <v>166666.66666666666</v>
      </c>
      <c r="Q86" s="72">
        <f t="shared" si="22"/>
        <v>247297.57291454202</v>
      </c>
      <c r="R86" s="13">
        <f>VLOOKUP(A86,'IDI 18MARZO'!B:D,3,0)</f>
        <v>365.34</v>
      </c>
      <c r="S86" s="72">
        <f t="shared" si="23"/>
        <v>1.3899999999999864</v>
      </c>
    </row>
    <row r="87" spans="1:19" customFormat="1" x14ac:dyDescent="0.25">
      <c r="A87" s="88">
        <v>43860</v>
      </c>
      <c r="B87" s="84">
        <v>10</v>
      </c>
      <c r="C87" s="73">
        <f t="shared" si="16"/>
        <v>1.6666666666666666E-2</v>
      </c>
      <c r="D87" s="13">
        <f t="shared" si="17"/>
        <v>366.2</v>
      </c>
      <c r="E87" s="45">
        <f t="shared" si="24"/>
        <v>1133.0931175924036</v>
      </c>
      <c r="F87" s="82"/>
      <c r="G87" s="47">
        <f t="shared" si="14"/>
        <v>1133.0931175924036</v>
      </c>
      <c r="H87" s="57">
        <f t="shared" si="13"/>
        <v>414938.69966233819</v>
      </c>
      <c r="I87" s="58"/>
      <c r="J87" s="58">
        <f t="shared" si="18"/>
        <v>0</v>
      </c>
      <c r="K87" s="58">
        <f t="shared" si="19"/>
        <v>0</v>
      </c>
      <c r="L87" s="59">
        <f t="shared" si="15"/>
        <v>414938.69966233819</v>
      </c>
      <c r="M87" s="13">
        <f t="shared" si="25"/>
        <v>6798558.705554422</v>
      </c>
      <c r="N87" s="13">
        <f t="shared" si="20"/>
        <v>2489632197.9740291</v>
      </c>
      <c r="O87" s="72">
        <f t="shared" si="21"/>
        <v>5846760.4867768288</v>
      </c>
      <c r="P87" s="13">
        <v>166666.66666666666</v>
      </c>
      <c r="Q87" s="72">
        <f t="shared" si="22"/>
        <v>248272.03299567153</v>
      </c>
      <c r="R87" s="13">
        <f>VLOOKUP(A87,'IDI 18MARZO'!B:D,3,0)</f>
        <v>366.2</v>
      </c>
      <c r="S87" s="72">
        <f t="shared" si="23"/>
        <v>0.86000000000001364</v>
      </c>
    </row>
    <row r="88" spans="1:19" customFormat="1" x14ac:dyDescent="0.25">
      <c r="A88" s="88">
        <v>43861</v>
      </c>
      <c r="B88" s="84">
        <v>10</v>
      </c>
      <c r="C88" s="73">
        <f t="shared" si="16"/>
        <v>1.6666666666666666E-2</v>
      </c>
      <c r="D88" s="13">
        <f t="shared" si="17"/>
        <v>366.62</v>
      </c>
      <c r="E88" s="45">
        <f t="shared" si="24"/>
        <v>1133.0931175924036</v>
      </c>
      <c r="F88" s="82"/>
      <c r="G88" s="47">
        <f t="shared" si="14"/>
        <v>1133.0931175924036</v>
      </c>
      <c r="H88" s="57">
        <f t="shared" si="13"/>
        <v>415414.598771727</v>
      </c>
      <c r="I88" s="58"/>
      <c r="J88" s="58">
        <f t="shared" si="18"/>
        <v>0</v>
      </c>
      <c r="K88" s="58">
        <f t="shared" si="19"/>
        <v>0</v>
      </c>
      <c r="L88" s="59">
        <f t="shared" si="15"/>
        <v>415414.598771727</v>
      </c>
      <c r="M88" s="13">
        <f t="shared" si="25"/>
        <v>6798558.705554422</v>
      </c>
      <c r="N88" s="13">
        <f t="shared" si="20"/>
        <v>2492487592.630362</v>
      </c>
      <c r="O88" s="72">
        <f t="shared" si="21"/>
        <v>2855394.6563329697</v>
      </c>
      <c r="P88" s="13">
        <v>166666.66666666666</v>
      </c>
      <c r="Q88" s="72">
        <f t="shared" si="22"/>
        <v>248747.93210506035</v>
      </c>
      <c r="R88" s="13">
        <f>VLOOKUP(A88,'IDI 18MARZO'!B:D,3,0)</f>
        <v>366.62</v>
      </c>
      <c r="S88" s="72">
        <f t="shared" si="23"/>
        <v>0.42000000000001592</v>
      </c>
    </row>
    <row r="89" spans="1:19" customFormat="1" x14ac:dyDescent="0.25">
      <c r="A89" s="88">
        <v>43862</v>
      </c>
      <c r="B89" s="84">
        <v>10</v>
      </c>
      <c r="C89" s="73">
        <f t="shared" si="16"/>
        <v>1.6666666666666666E-2</v>
      </c>
      <c r="D89" s="13">
        <f t="shared" si="17"/>
        <v>366.62</v>
      </c>
      <c r="E89" s="45">
        <f t="shared" si="24"/>
        <v>1133.0931175924036</v>
      </c>
      <c r="F89" s="82"/>
      <c r="G89" s="47">
        <f t="shared" si="14"/>
        <v>1133.0931175924036</v>
      </c>
      <c r="H89" s="57">
        <f t="shared" si="13"/>
        <v>415414.598771727</v>
      </c>
      <c r="I89" s="58"/>
      <c r="J89" s="58">
        <f t="shared" si="18"/>
        <v>0</v>
      </c>
      <c r="K89" s="58">
        <f t="shared" si="19"/>
        <v>0</v>
      </c>
      <c r="L89" s="59">
        <f t="shared" si="15"/>
        <v>415414.598771727</v>
      </c>
      <c r="M89" s="13">
        <f t="shared" si="25"/>
        <v>6798558.705554422</v>
      </c>
      <c r="N89" s="13">
        <f t="shared" si="20"/>
        <v>2492487592.630362</v>
      </c>
      <c r="O89" s="72">
        <f t="shared" si="21"/>
        <v>0</v>
      </c>
      <c r="P89" s="13">
        <v>166666.66666666666</v>
      </c>
      <c r="Q89" s="72">
        <f t="shared" si="22"/>
        <v>248747.93210506035</v>
      </c>
      <c r="R89" s="13">
        <f>VLOOKUP(A89,'IDI 18MARZO'!B:D,3,0)</f>
        <v>366.62</v>
      </c>
      <c r="S89" s="72">
        <f t="shared" si="23"/>
        <v>0</v>
      </c>
    </row>
    <row r="90" spans="1:19" customFormat="1" x14ac:dyDescent="0.25">
      <c r="A90" s="88">
        <v>43863</v>
      </c>
      <c r="B90" s="84">
        <v>10</v>
      </c>
      <c r="C90" s="73">
        <f t="shared" si="16"/>
        <v>1.6666666666666666E-2</v>
      </c>
      <c r="D90" s="13">
        <f t="shared" si="17"/>
        <v>366.62</v>
      </c>
      <c r="E90" s="45">
        <f t="shared" si="24"/>
        <v>1133.0931175924036</v>
      </c>
      <c r="F90" s="82"/>
      <c r="G90" s="47">
        <f t="shared" si="14"/>
        <v>1133.0931175924036</v>
      </c>
      <c r="H90" s="57">
        <f t="shared" ref="H90:H101" si="26">+E90*D90</f>
        <v>415414.598771727</v>
      </c>
      <c r="I90" s="58"/>
      <c r="J90" s="58">
        <f t="shared" si="18"/>
        <v>0</v>
      </c>
      <c r="K90" s="58">
        <f t="shared" si="19"/>
        <v>0</v>
      </c>
      <c r="L90" s="59">
        <f t="shared" si="15"/>
        <v>415414.598771727</v>
      </c>
      <c r="M90" s="13">
        <f t="shared" si="25"/>
        <v>6798558.705554422</v>
      </c>
      <c r="N90" s="13">
        <f t="shared" si="20"/>
        <v>2492487592.630362</v>
      </c>
      <c r="O90" s="72">
        <f t="shared" si="21"/>
        <v>0</v>
      </c>
      <c r="P90" s="13">
        <v>166666.66666666666</v>
      </c>
      <c r="Q90" s="72">
        <f t="shared" si="22"/>
        <v>248747.93210506035</v>
      </c>
      <c r="R90" s="13">
        <f>VLOOKUP(A90,'IDI 18MARZO'!B:D,3,0)</f>
        <v>366.62</v>
      </c>
      <c r="S90" s="72">
        <f t="shared" si="23"/>
        <v>0</v>
      </c>
    </row>
    <row r="91" spans="1:19" customFormat="1" x14ac:dyDescent="0.25">
      <c r="A91" s="88">
        <v>43864</v>
      </c>
      <c r="B91" s="84">
        <v>10</v>
      </c>
      <c r="C91" s="73">
        <f t="shared" si="16"/>
        <v>1.6666666666666666E-2</v>
      </c>
      <c r="D91" s="13">
        <f t="shared" si="17"/>
        <v>361.91</v>
      </c>
      <c r="E91" s="45">
        <f t="shared" si="24"/>
        <v>1133.0931175924036</v>
      </c>
      <c r="F91" s="82"/>
      <c r="G91" s="47">
        <f t="shared" si="14"/>
        <v>1133.0931175924036</v>
      </c>
      <c r="H91" s="57">
        <f t="shared" si="26"/>
        <v>410077.73018786684</v>
      </c>
      <c r="I91" s="58"/>
      <c r="J91" s="58">
        <f t="shared" si="18"/>
        <v>0</v>
      </c>
      <c r="K91" s="58">
        <f t="shared" si="19"/>
        <v>0</v>
      </c>
      <c r="L91" s="59">
        <f t="shared" si="15"/>
        <v>410077.73018786684</v>
      </c>
      <c r="M91" s="13">
        <f t="shared" si="25"/>
        <v>6798558.705554422</v>
      </c>
      <c r="N91" s="13">
        <f t="shared" si="20"/>
        <v>2460466381.1272011</v>
      </c>
      <c r="O91" s="72">
        <f t="shared" si="21"/>
        <v>-32021211.503160954</v>
      </c>
      <c r="P91" s="13">
        <v>166666.66666666666</v>
      </c>
      <c r="Q91" s="72">
        <f t="shared" si="22"/>
        <v>243411.06352120018</v>
      </c>
      <c r="R91" s="13">
        <f>VLOOKUP(A91,'IDI 18MARZO'!B:D,3,0)</f>
        <v>361.91</v>
      </c>
      <c r="S91" s="72">
        <f t="shared" si="23"/>
        <v>-4.7099999999999795</v>
      </c>
    </row>
    <row r="92" spans="1:19" customFormat="1" x14ac:dyDescent="0.25">
      <c r="A92" s="88">
        <v>43865</v>
      </c>
      <c r="B92" s="84">
        <v>10</v>
      </c>
      <c r="C92" s="73">
        <f t="shared" si="16"/>
        <v>1.6666666666666666E-2</v>
      </c>
      <c r="D92" s="13">
        <f t="shared" si="17"/>
        <v>356.61</v>
      </c>
      <c r="E92" s="45">
        <f t="shared" si="24"/>
        <v>1133.0931175924036</v>
      </c>
      <c r="F92" s="82"/>
      <c r="G92" s="47">
        <f t="shared" si="14"/>
        <v>1133.0931175924036</v>
      </c>
      <c r="H92" s="57">
        <f t="shared" si="26"/>
        <v>404072.33666462707</v>
      </c>
      <c r="I92" s="58"/>
      <c r="J92" s="58">
        <f t="shared" si="18"/>
        <v>0</v>
      </c>
      <c r="K92" s="58">
        <f t="shared" si="19"/>
        <v>0</v>
      </c>
      <c r="L92" s="59">
        <f t="shared" si="15"/>
        <v>404072.33666462707</v>
      </c>
      <c r="M92" s="13">
        <f t="shared" si="25"/>
        <v>6798558.705554422</v>
      </c>
      <c r="N92" s="13">
        <f t="shared" si="20"/>
        <v>2424434019.9877625</v>
      </c>
      <c r="O92" s="72">
        <f t="shared" si="21"/>
        <v>-36032361.139438629</v>
      </c>
      <c r="P92" s="13">
        <v>166666.66666666666</v>
      </c>
      <c r="Q92" s="72">
        <f t="shared" si="22"/>
        <v>237405.66999796042</v>
      </c>
      <c r="R92" s="13">
        <f>VLOOKUP(A92,'IDI 18MARZO'!B:D,3,0)</f>
        <v>356.61</v>
      </c>
      <c r="S92" s="72">
        <f t="shared" si="23"/>
        <v>-5.3000000000000114</v>
      </c>
    </row>
    <row r="93" spans="1:19" customFormat="1" x14ac:dyDescent="0.25">
      <c r="A93" s="88">
        <v>43866</v>
      </c>
      <c r="B93" s="84">
        <v>10</v>
      </c>
      <c r="C93" s="73">
        <f t="shared" si="16"/>
        <v>1.6666666666666666E-2</v>
      </c>
      <c r="D93" s="13">
        <f t="shared" si="17"/>
        <v>358.56</v>
      </c>
      <c r="E93" s="45">
        <f t="shared" si="24"/>
        <v>1133.0931175924036</v>
      </c>
      <c r="F93" s="82"/>
      <c r="G93" s="47">
        <f t="shared" si="14"/>
        <v>1133.0931175924036</v>
      </c>
      <c r="H93" s="57">
        <f t="shared" si="26"/>
        <v>406281.86824393226</v>
      </c>
      <c r="I93" s="58"/>
      <c r="J93" s="58">
        <f t="shared" si="18"/>
        <v>0</v>
      </c>
      <c r="K93" s="58">
        <f t="shared" si="19"/>
        <v>0</v>
      </c>
      <c r="L93" s="59">
        <f t="shared" si="15"/>
        <v>406281.86824393226</v>
      </c>
      <c r="M93" s="13">
        <f t="shared" si="25"/>
        <v>6798558.705554422</v>
      </c>
      <c r="N93" s="13">
        <f t="shared" si="20"/>
        <v>2437691209.4635935</v>
      </c>
      <c r="O93" s="72">
        <f t="shared" si="21"/>
        <v>13257189.475831032</v>
      </c>
      <c r="P93" s="13">
        <v>166666.66666666666</v>
      </c>
      <c r="Q93" s="72">
        <f t="shared" si="22"/>
        <v>239615.2015772656</v>
      </c>
      <c r="R93" s="13">
        <f>VLOOKUP(A93,'IDI 18MARZO'!B:D,3,0)</f>
        <v>358.56</v>
      </c>
      <c r="S93" s="72">
        <f t="shared" si="23"/>
        <v>1.9499999999999886</v>
      </c>
    </row>
    <row r="94" spans="1:19" customFormat="1" x14ac:dyDescent="0.25">
      <c r="A94" s="88">
        <v>43867</v>
      </c>
      <c r="B94" s="84">
        <v>10</v>
      </c>
      <c r="C94" s="73">
        <f t="shared" si="16"/>
        <v>1.6666666666666666E-2</v>
      </c>
      <c r="D94" s="13">
        <f t="shared" si="17"/>
        <v>359.86</v>
      </c>
      <c r="E94" s="45">
        <f t="shared" si="24"/>
        <v>1133.0931175924036</v>
      </c>
      <c r="F94" s="82"/>
      <c r="G94" s="47">
        <f t="shared" si="14"/>
        <v>1133.0931175924036</v>
      </c>
      <c r="H94" s="57">
        <f t="shared" si="26"/>
        <v>407754.88929680234</v>
      </c>
      <c r="I94" s="58"/>
      <c r="J94" s="58">
        <f t="shared" si="18"/>
        <v>0</v>
      </c>
      <c r="K94" s="58">
        <f t="shared" si="19"/>
        <v>0</v>
      </c>
      <c r="L94" s="59">
        <f t="shared" si="15"/>
        <v>407754.88929680234</v>
      </c>
      <c r="M94" s="13">
        <f t="shared" si="25"/>
        <v>6798558.705554422</v>
      </c>
      <c r="N94" s="13">
        <f t="shared" si="20"/>
        <v>2446529335.7808142</v>
      </c>
      <c r="O94" s="72">
        <f t="shared" si="21"/>
        <v>8838126.3172206879</v>
      </c>
      <c r="P94" s="13">
        <v>166666.66666666666</v>
      </c>
      <c r="Q94" s="72">
        <f t="shared" si="22"/>
        <v>241088.22263013569</v>
      </c>
      <c r="R94" s="13">
        <f>VLOOKUP(A94,'IDI 18MARZO'!B:D,3,0)</f>
        <v>359.86</v>
      </c>
      <c r="S94" s="72">
        <f t="shared" si="23"/>
        <v>1.3000000000000114</v>
      </c>
    </row>
    <row r="95" spans="1:19" customFormat="1" x14ac:dyDescent="0.25">
      <c r="A95" s="88">
        <v>43868</v>
      </c>
      <c r="B95" s="84">
        <v>10</v>
      </c>
      <c r="C95" s="73">
        <f t="shared" si="16"/>
        <v>1.6666666666666666E-2</v>
      </c>
      <c r="D95" s="13">
        <f t="shared" si="17"/>
        <v>359.89</v>
      </c>
      <c r="E95" s="45">
        <f t="shared" si="24"/>
        <v>1133.0931175924036</v>
      </c>
      <c r="F95" s="82"/>
      <c r="G95" s="47">
        <f t="shared" si="14"/>
        <v>1133.0931175924036</v>
      </c>
      <c r="H95" s="57">
        <f t="shared" si="26"/>
        <v>407788.88209033012</v>
      </c>
      <c r="I95" s="58"/>
      <c r="J95" s="58">
        <f t="shared" si="18"/>
        <v>0</v>
      </c>
      <c r="K95" s="58">
        <f t="shared" si="19"/>
        <v>0</v>
      </c>
      <c r="L95" s="59">
        <f t="shared" si="15"/>
        <v>407788.88209033012</v>
      </c>
      <c r="M95" s="13">
        <f t="shared" si="25"/>
        <v>6798558.705554422</v>
      </c>
      <c r="N95" s="13">
        <f t="shared" si="20"/>
        <v>2446733292.5419807</v>
      </c>
      <c r="O95" s="72">
        <f t="shared" si="21"/>
        <v>203956.76116657257</v>
      </c>
      <c r="P95" s="13">
        <v>166666.66666666666</v>
      </c>
      <c r="Q95" s="72">
        <f t="shared" si="22"/>
        <v>241122.21542366347</v>
      </c>
      <c r="R95" s="13">
        <f>VLOOKUP(A95,'IDI 18MARZO'!B:D,3,0)</f>
        <v>359.89</v>
      </c>
      <c r="S95" s="72">
        <f t="shared" si="23"/>
        <v>2.9999999999972715E-2</v>
      </c>
    </row>
    <row r="96" spans="1:19" customFormat="1" x14ac:dyDescent="0.25">
      <c r="A96" s="88">
        <v>43869</v>
      </c>
      <c r="B96" s="84">
        <v>10</v>
      </c>
      <c r="C96" s="73">
        <f t="shared" si="16"/>
        <v>1.6666666666666666E-2</v>
      </c>
      <c r="D96" s="13">
        <f t="shared" si="17"/>
        <v>359.89</v>
      </c>
      <c r="E96" s="45">
        <f t="shared" si="24"/>
        <v>1133.0931175924036</v>
      </c>
      <c r="F96" s="82"/>
      <c r="G96" s="47">
        <f t="shared" si="14"/>
        <v>1133.0931175924036</v>
      </c>
      <c r="H96" s="57">
        <f t="shared" si="26"/>
        <v>407788.88209033012</v>
      </c>
      <c r="I96" s="58"/>
      <c r="J96" s="58">
        <f t="shared" si="18"/>
        <v>0</v>
      </c>
      <c r="K96" s="58">
        <f t="shared" si="19"/>
        <v>0</v>
      </c>
      <c r="L96" s="59">
        <f t="shared" si="15"/>
        <v>407788.88209033012</v>
      </c>
      <c r="M96" s="13">
        <f t="shared" si="25"/>
        <v>6798558.705554422</v>
      </c>
      <c r="N96" s="13">
        <f t="shared" si="20"/>
        <v>2446733292.5419807</v>
      </c>
      <c r="O96" s="72">
        <f t="shared" si="21"/>
        <v>0</v>
      </c>
      <c r="P96" s="13">
        <v>166666.66666666666</v>
      </c>
      <c r="Q96" s="72">
        <f t="shared" si="22"/>
        <v>241122.21542366347</v>
      </c>
      <c r="R96" s="13">
        <f>VLOOKUP(A96,'IDI 18MARZO'!B:D,3,0)</f>
        <v>359.89</v>
      </c>
      <c r="S96" s="72">
        <f t="shared" si="23"/>
        <v>0</v>
      </c>
    </row>
    <row r="97" spans="1:19" customFormat="1" x14ac:dyDescent="0.25">
      <c r="A97" s="88">
        <v>43870</v>
      </c>
      <c r="B97" s="84">
        <v>10</v>
      </c>
      <c r="C97" s="73">
        <f t="shared" si="16"/>
        <v>1.6666666666666666E-2</v>
      </c>
      <c r="D97" s="13">
        <f t="shared" si="17"/>
        <v>359.89</v>
      </c>
      <c r="E97" s="45">
        <f t="shared" si="24"/>
        <v>1133.0931175924036</v>
      </c>
      <c r="F97" s="82"/>
      <c r="G97" s="47">
        <f t="shared" si="14"/>
        <v>1133.0931175924036</v>
      </c>
      <c r="H97" s="57">
        <f t="shared" si="26"/>
        <v>407788.88209033012</v>
      </c>
      <c r="I97" s="58"/>
      <c r="J97" s="58">
        <f t="shared" si="18"/>
        <v>0</v>
      </c>
      <c r="K97" s="58">
        <f t="shared" si="19"/>
        <v>0</v>
      </c>
      <c r="L97" s="59">
        <f t="shared" si="15"/>
        <v>407788.88209033012</v>
      </c>
      <c r="M97" s="13">
        <f t="shared" si="25"/>
        <v>6798558.705554422</v>
      </c>
      <c r="N97" s="13">
        <f t="shared" si="20"/>
        <v>2446733292.5419807</v>
      </c>
      <c r="O97" s="72">
        <f t="shared" si="21"/>
        <v>0</v>
      </c>
      <c r="P97" s="13">
        <v>166666.66666666666</v>
      </c>
      <c r="Q97" s="72">
        <f t="shared" si="22"/>
        <v>241122.21542366347</v>
      </c>
      <c r="R97" s="13">
        <f>VLOOKUP(A97,'IDI 18MARZO'!B:D,3,0)</f>
        <v>359.89</v>
      </c>
      <c r="S97" s="72">
        <f t="shared" si="23"/>
        <v>0</v>
      </c>
    </row>
    <row r="98" spans="1:19" customFormat="1" x14ac:dyDescent="0.25">
      <c r="A98" s="88">
        <v>43871</v>
      </c>
      <c r="B98" s="84">
        <v>10</v>
      </c>
      <c r="C98" s="73">
        <f t="shared" si="16"/>
        <v>1.6666666666666666E-2</v>
      </c>
      <c r="D98" s="13">
        <f t="shared" si="17"/>
        <v>359</v>
      </c>
      <c r="E98" s="45">
        <f t="shared" si="24"/>
        <v>1133.0931175924036</v>
      </c>
      <c r="F98" s="82"/>
      <c r="G98" s="47">
        <f t="shared" si="14"/>
        <v>1133.0931175924036</v>
      </c>
      <c r="H98" s="57">
        <f t="shared" si="26"/>
        <v>406780.42921567289</v>
      </c>
      <c r="I98" s="58"/>
      <c r="J98" s="58">
        <f t="shared" si="18"/>
        <v>0</v>
      </c>
      <c r="K98" s="58">
        <f t="shared" si="19"/>
        <v>0</v>
      </c>
      <c r="L98" s="59">
        <f t="shared" si="15"/>
        <v>406780.42921567289</v>
      </c>
      <c r="M98" s="13">
        <f t="shared" si="25"/>
        <v>6798558.705554422</v>
      </c>
      <c r="N98" s="13">
        <f t="shared" si="20"/>
        <v>2440682575.2940373</v>
      </c>
      <c r="O98" s="72">
        <f t="shared" si="21"/>
        <v>-6050717.2479434013</v>
      </c>
      <c r="P98" s="13">
        <v>166666.66666666666</v>
      </c>
      <c r="Q98" s="72">
        <f t="shared" si="22"/>
        <v>240113.76254900623</v>
      </c>
      <c r="R98" s="13">
        <f>VLOOKUP(A98,'IDI 18MARZO'!B:D,3,0)</f>
        <v>359</v>
      </c>
      <c r="S98" s="72">
        <f t="shared" si="23"/>
        <v>-0.88999999999998636</v>
      </c>
    </row>
    <row r="99" spans="1:19" customFormat="1" x14ac:dyDescent="0.25">
      <c r="A99" s="88">
        <v>43872</v>
      </c>
      <c r="B99" s="84">
        <v>10</v>
      </c>
      <c r="C99" s="73">
        <f t="shared" si="16"/>
        <v>1.6666666666666666E-2</v>
      </c>
      <c r="D99" s="13">
        <f t="shared" si="17"/>
        <v>357.13</v>
      </c>
      <c r="E99" s="45">
        <f t="shared" si="24"/>
        <v>1133.0931175924036</v>
      </c>
      <c r="F99" s="82"/>
      <c r="G99" s="47">
        <f t="shared" si="14"/>
        <v>1133.0931175924036</v>
      </c>
      <c r="H99" s="57">
        <f t="shared" si="26"/>
        <v>404661.54508577508</v>
      </c>
      <c r="I99" s="58"/>
      <c r="J99" s="58">
        <f t="shared" si="18"/>
        <v>0</v>
      </c>
      <c r="K99" s="58">
        <f t="shared" si="19"/>
        <v>0</v>
      </c>
      <c r="L99" s="59">
        <f t="shared" si="15"/>
        <v>404661.54508577508</v>
      </c>
      <c r="M99" s="13">
        <f t="shared" si="25"/>
        <v>6798558.705554422</v>
      </c>
      <c r="N99" s="13">
        <f t="shared" si="20"/>
        <v>2427969270.5146508</v>
      </c>
      <c r="O99" s="72">
        <f t="shared" si="21"/>
        <v>-12713304.77938652</v>
      </c>
      <c r="P99" s="13">
        <v>166666.66666666666</v>
      </c>
      <c r="Q99" s="72">
        <f t="shared" si="22"/>
        <v>237994.87841910843</v>
      </c>
      <c r="R99" s="13">
        <f>VLOOKUP(A99,'IDI 18MARZO'!B:D,3,0)</f>
        <v>357.13</v>
      </c>
      <c r="S99" s="72">
        <f t="shared" si="23"/>
        <v>-1.8700000000000045</v>
      </c>
    </row>
    <row r="100" spans="1:19" customFormat="1" x14ac:dyDescent="0.25">
      <c r="A100" s="88">
        <v>43873</v>
      </c>
      <c r="B100" s="84">
        <v>10</v>
      </c>
      <c r="C100" s="73">
        <f t="shared" si="16"/>
        <v>1.6666666666666666E-2</v>
      </c>
      <c r="D100" s="13">
        <f t="shared" si="17"/>
        <v>357.74</v>
      </c>
      <c r="E100" s="45">
        <f t="shared" si="24"/>
        <v>1133.0931175924036</v>
      </c>
      <c r="F100" s="82"/>
      <c r="G100" s="47">
        <f t="shared" si="14"/>
        <v>1133.0931175924036</v>
      </c>
      <c r="H100" s="57">
        <f t="shared" si="26"/>
        <v>405352.7318875065</v>
      </c>
      <c r="I100" s="58"/>
      <c r="J100" s="58">
        <f t="shared" si="18"/>
        <v>0</v>
      </c>
      <c r="K100" s="58">
        <f t="shared" si="19"/>
        <v>0</v>
      </c>
      <c r="L100" s="59">
        <f t="shared" si="15"/>
        <v>405352.7318875065</v>
      </c>
      <c r="M100" s="13">
        <f t="shared" si="25"/>
        <v>6798558.705554422</v>
      </c>
      <c r="N100" s="13">
        <f t="shared" si="20"/>
        <v>2432116391.3250389</v>
      </c>
      <c r="O100" s="72">
        <f t="shared" si="21"/>
        <v>4147120.8103880882</v>
      </c>
      <c r="P100" s="13">
        <v>166666.66666666666</v>
      </c>
      <c r="Q100" s="72">
        <f t="shared" si="22"/>
        <v>238686.06522083984</v>
      </c>
      <c r="R100" s="13">
        <f>VLOOKUP(A100,'IDI 18MARZO'!B:D,3,0)</f>
        <v>357.74</v>
      </c>
      <c r="S100" s="72">
        <f t="shared" si="23"/>
        <v>0.61000000000001364</v>
      </c>
    </row>
    <row r="101" spans="1:19" customFormat="1" x14ac:dyDescent="0.25">
      <c r="A101" s="88">
        <v>43874</v>
      </c>
      <c r="B101" s="84">
        <v>10</v>
      </c>
      <c r="C101" s="73">
        <f t="shared" si="16"/>
        <v>1.6666666666666666E-2</v>
      </c>
      <c r="D101" s="13">
        <f t="shared" si="17"/>
        <v>359.27</v>
      </c>
      <c r="E101" s="45">
        <f t="shared" si="24"/>
        <v>1133.0931175924036</v>
      </c>
      <c r="F101" s="82"/>
      <c r="G101" s="47">
        <f t="shared" si="14"/>
        <v>1133.0931175924036</v>
      </c>
      <c r="H101" s="57">
        <f t="shared" si="26"/>
        <v>407086.3643574228</v>
      </c>
      <c r="I101" s="58"/>
      <c r="J101" s="58">
        <f t="shared" si="18"/>
        <v>0</v>
      </c>
      <c r="K101" s="58">
        <f t="shared" si="19"/>
        <v>0</v>
      </c>
      <c r="L101" s="59">
        <f t="shared" si="15"/>
        <v>407086.3643574228</v>
      </c>
      <c r="M101" s="13">
        <f t="shared" si="25"/>
        <v>6798558.705554422</v>
      </c>
      <c r="N101" s="13">
        <f t="shared" si="20"/>
        <v>2442518186.144537</v>
      </c>
      <c r="O101" s="72">
        <f t="shared" si="21"/>
        <v>10401794.819498062</v>
      </c>
      <c r="P101" s="13">
        <v>166666.66666666666</v>
      </c>
      <c r="Q101" s="72">
        <f t="shared" si="22"/>
        <v>240419.69769075615</v>
      </c>
      <c r="R101" s="13">
        <f>VLOOKUP(A101,'IDI 18MARZO'!B:D,3,0)</f>
        <v>359.27</v>
      </c>
      <c r="S101" s="72">
        <f t="shared" si="23"/>
        <v>1.5299999999999727</v>
      </c>
    </row>
    <row r="102" spans="1:19" customFormat="1" x14ac:dyDescent="0.25">
      <c r="A102" s="88">
        <v>43875</v>
      </c>
      <c r="B102" s="84">
        <v>10</v>
      </c>
      <c r="C102" s="73">
        <f t="shared" si="16"/>
        <v>1.6666666666666666E-2</v>
      </c>
      <c r="D102" s="13">
        <f t="shared" ref="D102:D132" si="27">IF(R102&gt;$D$13,R102,$D$13)</f>
        <v>359.74</v>
      </c>
      <c r="E102" s="45">
        <f t="shared" ref="E102:E132" si="28">+M101*C102/100</f>
        <v>1133.0931175924036</v>
      </c>
      <c r="F102" s="82"/>
      <c r="G102" s="47">
        <f t="shared" ref="G102:G132" si="29">+E102+F102</f>
        <v>1133.0931175924036</v>
      </c>
      <c r="H102" s="57">
        <f t="shared" ref="H102:H132" si="30">+E102*D102</f>
        <v>407618.91812269128</v>
      </c>
      <c r="I102" s="58"/>
      <c r="J102" s="58">
        <f t="shared" ref="J102:J131" si="31">+F102*D102-I102</f>
        <v>0</v>
      </c>
      <c r="K102" s="58">
        <f t="shared" ref="K102:K131" si="32">+F102*D102</f>
        <v>0</v>
      </c>
      <c r="L102" s="59">
        <f t="shared" ref="L102:L132" si="33">+H102+K102</f>
        <v>407618.91812269128</v>
      </c>
      <c r="M102" s="13">
        <f t="shared" ref="M102:M132" si="34">+M101-F102</f>
        <v>6798558.705554422</v>
      </c>
      <c r="N102" s="13">
        <f t="shared" ref="N102:N132" si="35">+M102*D102</f>
        <v>2445713508.7361479</v>
      </c>
      <c r="O102" s="72">
        <f t="shared" ref="O102:O131" si="36">+N102-N101</f>
        <v>3195322.5916109085</v>
      </c>
      <c r="P102" s="13">
        <v>166666.66666666666</v>
      </c>
      <c r="Q102" s="72">
        <f t="shared" ref="Q102:Q132" si="37">H102-P102</f>
        <v>240952.25145602462</v>
      </c>
      <c r="R102" s="13">
        <f>VLOOKUP(A102,'IDI 18MARZO'!B:D,3,0)</f>
        <v>359.74</v>
      </c>
      <c r="S102" s="72">
        <f t="shared" ref="S102:S132" si="38">R102-R101</f>
        <v>0.47000000000002728</v>
      </c>
    </row>
    <row r="103" spans="1:19" customFormat="1" x14ac:dyDescent="0.25">
      <c r="A103" s="88">
        <v>43876</v>
      </c>
      <c r="B103" s="84">
        <v>10</v>
      </c>
      <c r="C103" s="73">
        <f t="shared" si="16"/>
        <v>1.6666666666666666E-2</v>
      </c>
      <c r="D103" s="13">
        <f t="shared" si="27"/>
        <v>359.74</v>
      </c>
      <c r="E103" s="45">
        <f t="shared" si="28"/>
        <v>1133.0931175924036</v>
      </c>
      <c r="F103" s="82"/>
      <c r="G103" s="47">
        <f t="shared" si="29"/>
        <v>1133.0931175924036</v>
      </c>
      <c r="H103" s="57">
        <f t="shared" si="30"/>
        <v>407618.91812269128</v>
      </c>
      <c r="I103" s="58"/>
      <c r="J103" s="58">
        <f t="shared" si="31"/>
        <v>0</v>
      </c>
      <c r="K103" s="58">
        <f t="shared" si="32"/>
        <v>0</v>
      </c>
      <c r="L103" s="59">
        <f t="shared" si="33"/>
        <v>407618.91812269128</v>
      </c>
      <c r="M103" s="13">
        <f t="shared" si="34"/>
        <v>6798558.705554422</v>
      </c>
      <c r="N103" s="13">
        <f t="shared" si="35"/>
        <v>2445713508.7361479</v>
      </c>
      <c r="O103" s="72">
        <f t="shared" si="36"/>
        <v>0</v>
      </c>
      <c r="P103" s="13">
        <v>166666.66666666666</v>
      </c>
      <c r="Q103" s="72">
        <f t="shared" si="37"/>
        <v>240952.25145602462</v>
      </c>
      <c r="R103" s="13">
        <f>VLOOKUP(A103,'IDI 18MARZO'!B:D,3,0)</f>
        <v>359.74</v>
      </c>
      <c r="S103" s="72">
        <f t="shared" si="38"/>
        <v>0</v>
      </c>
    </row>
    <row r="104" spans="1:19" customFormat="1" x14ac:dyDescent="0.25">
      <c r="A104" s="88">
        <v>43877</v>
      </c>
      <c r="B104" s="84">
        <v>10</v>
      </c>
      <c r="C104" s="73">
        <f t="shared" si="16"/>
        <v>1.6666666666666666E-2</v>
      </c>
      <c r="D104" s="13">
        <f t="shared" si="27"/>
        <v>359.74</v>
      </c>
      <c r="E104" s="45">
        <f t="shared" si="28"/>
        <v>1133.0931175924036</v>
      </c>
      <c r="F104" s="82"/>
      <c r="G104" s="47">
        <f t="shared" si="29"/>
        <v>1133.0931175924036</v>
      </c>
      <c r="H104" s="57">
        <f t="shared" si="30"/>
        <v>407618.91812269128</v>
      </c>
      <c r="I104" s="58"/>
      <c r="J104" s="58">
        <f t="shared" si="31"/>
        <v>0</v>
      </c>
      <c r="K104" s="58">
        <f t="shared" si="32"/>
        <v>0</v>
      </c>
      <c r="L104" s="59">
        <f t="shared" si="33"/>
        <v>407618.91812269128</v>
      </c>
      <c r="M104" s="13">
        <f t="shared" si="34"/>
        <v>6798558.705554422</v>
      </c>
      <c r="N104" s="13">
        <f t="shared" si="35"/>
        <v>2445713508.7361479</v>
      </c>
      <c r="O104" s="72">
        <f t="shared" si="36"/>
        <v>0</v>
      </c>
      <c r="P104" s="13">
        <v>166666.66666666666</v>
      </c>
      <c r="Q104" s="72">
        <f t="shared" si="37"/>
        <v>240952.25145602462</v>
      </c>
      <c r="R104" s="13">
        <f>VLOOKUP(A104,'IDI 18MARZO'!B:D,3,0)</f>
        <v>359.74</v>
      </c>
      <c r="S104" s="72">
        <f t="shared" si="38"/>
        <v>0</v>
      </c>
    </row>
    <row r="105" spans="1:19" customFormat="1" x14ac:dyDescent="0.25">
      <c r="A105" s="88">
        <v>43878</v>
      </c>
      <c r="B105" s="84">
        <v>10</v>
      </c>
      <c r="C105" s="73">
        <f t="shared" si="16"/>
        <v>1.6666666666666666E-2</v>
      </c>
      <c r="D105" s="13">
        <f t="shared" si="27"/>
        <v>358.82</v>
      </c>
      <c r="E105" s="45">
        <f t="shared" si="28"/>
        <v>1133.0931175924036</v>
      </c>
      <c r="F105" s="82"/>
      <c r="G105" s="47">
        <f t="shared" si="29"/>
        <v>1133.0931175924036</v>
      </c>
      <c r="H105" s="57">
        <f t="shared" si="30"/>
        <v>406576.47245450626</v>
      </c>
      <c r="I105" s="58"/>
      <c r="J105" s="58">
        <f t="shared" si="31"/>
        <v>0</v>
      </c>
      <c r="K105" s="58">
        <f t="shared" si="32"/>
        <v>0</v>
      </c>
      <c r="L105" s="59">
        <f t="shared" si="33"/>
        <v>406576.47245450626</v>
      </c>
      <c r="M105" s="13">
        <f t="shared" si="34"/>
        <v>6798558.705554422</v>
      </c>
      <c r="N105" s="13">
        <f t="shared" si="35"/>
        <v>2439458834.7270374</v>
      </c>
      <c r="O105" s="72">
        <f t="shared" si="36"/>
        <v>-6254674.0091104507</v>
      </c>
      <c r="P105" s="13">
        <v>166666.66666666666</v>
      </c>
      <c r="Q105" s="72">
        <f t="shared" si="37"/>
        <v>239909.80578783961</v>
      </c>
      <c r="R105" s="13">
        <f>VLOOKUP(A105,'IDI 18MARZO'!B:D,3,0)</f>
        <v>358.82</v>
      </c>
      <c r="S105" s="72">
        <f t="shared" si="38"/>
        <v>-0.92000000000001592</v>
      </c>
    </row>
    <row r="106" spans="1:19" customFormat="1" x14ac:dyDescent="0.25">
      <c r="A106" s="88">
        <v>43879</v>
      </c>
      <c r="B106" s="84">
        <v>10</v>
      </c>
      <c r="C106" s="73">
        <f t="shared" si="16"/>
        <v>1.6666666666666666E-2</v>
      </c>
      <c r="D106" s="13">
        <f t="shared" si="27"/>
        <v>359.2</v>
      </c>
      <c r="E106" s="45">
        <f t="shared" si="28"/>
        <v>1133.0931175924036</v>
      </c>
      <c r="F106" s="82"/>
      <c r="G106" s="47">
        <f t="shared" si="29"/>
        <v>1133.0931175924036</v>
      </c>
      <c r="H106" s="57">
        <f t="shared" si="30"/>
        <v>407007.04783919133</v>
      </c>
      <c r="I106" s="58"/>
      <c r="J106" s="58">
        <f t="shared" si="31"/>
        <v>0</v>
      </c>
      <c r="K106" s="58">
        <f t="shared" si="32"/>
        <v>0</v>
      </c>
      <c r="L106" s="59">
        <f t="shared" si="33"/>
        <v>407007.04783919133</v>
      </c>
      <c r="M106" s="13">
        <f t="shared" si="34"/>
        <v>6798558.705554422</v>
      </c>
      <c r="N106" s="13">
        <f t="shared" si="35"/>
        <v>2442042287.0351481</v>
      </c>
      <c r="O106" s="72">
        <f t="shared" si="36"/>
        <v>2583452.308110714</v>
      </c>
      <c r="P106" s="13">
        <v>166666.66666666666</v>
      </c>
      <c r="Q106" s="72">
        <f t="shared" si="37"/>
        <v>240340.38117252468</v>
      </c>
      <c r="R106" s="13">
        <f>VLOOKUP(A106,'IDI 18MARZO'!B:D,3,0)</f>
        <v>359.2</v>
      </c>
      <c r="S106" s="72">
        <f t="shared" si="38"/>
        <v>0.37999999999999545</v>
      </c>
    </row>
    <row r="107" spans="1:19" customFormat="1" x14ac:dyDescent="0.25">
      <c r="A107" s="88">
        <v>43880</v>
      </c>
      <c r="B107" s="84">
        <v>10</v>
      </c>
      <c r="C107" s="73">
        <f t="shared" si="16"/>
        <v>1.6666666666666666E-2</v>
      </c>
      <c r="D107" s="13">
        <f t="shared" si="27"/>
        <v>360.67</v>
      </c>
      <c r="E107" s="45">
        <f t="shared" si="28"/>
        <v>1133.0931175924036</v>
      </c>
      <c r="F107" s="82"/>
      <c r="G107" s="47">
        <f t="shared" si="29"/>
        <v>1133.0931175924036</v>
      </c>
      <c r="H107" s="57">
        <f t="shared" si="30"/>
        <v>408672.6947220522</v>
      </c>
      <c r="I107" s="58"/>
      <c r="J107" s="58">
        <f t="shared" si="31"/>
        <v>0</v>
      </c>
      <c r="K107" s="58">
        <f t="shared" si="32"/>
        <v>0</v>
      </c>
      <c r="L107" s="59">
        <f t="shared" si="33"/>
        <v>408672.6947220522</v>
      </c>
      <c r="M107" s="13">
        <f t="shared" si="34"/>
        <v>6798558.705554422</v>
      </c>
      <c r="N107" s="13">
        <f t="shared" si="35"/>
        <v>2452036168.3323135</v>
      </c>
      <c r="O107" s="72">
        <f t="shared" si="36"/>
        <v>9993881.2971653938</v>
      </c>
      <c r="P107" s="13">
        <v>166666.66666666666</v>
      </c>
      <c r="Q107" s="72">
        <f t="shared" si="37"/>
        <v>242006.02805538554</v>
      </c>
      <c r="R107" s="13">
        <f>VLOOKUP(A107,'IDI 18MARZO'!B:D,3,0)</f>
        <v>360.67</v>
      </c>
      <c r="S107" s="72">
        <f t="shared" si="38"/>
        <v>1.4700000000000273</v>
      </c>
    </row>
    <row r="108" spans="1:19" customFormat="1" x14ac:dyDescent="0.25">
      <c r="A108" s="88">
        <v>43881</v>
      </c>
      <c r="B108" s="84">
        <v>10</v>
      </c>
      <c r="C108" s="73">
        <f t="shared" si="16"/>
        <v>1.6666666666666666E-2</v>
      </c>
      <c r="D108" s="13">
        <f t="shared" si="27"/>
        <v>360.61</v>
      </c>
      <c r="E108" s="45">
        <f t="shared" si="28"/>
        <v>1133.0931175924036</v>
      </c>
      <c r="F108" s="82"/>
      <c r="G108" s="47">
        <f t="shared" si="29"/>
        <v>1133.0931175924036</v>
      </c>
      <c r="H108" s="57">
        <f t="shared" si="30"/>
        <v>408604.70913499669</v>
      </c>
      <c r="I108" s="58"/>
      <c r="J108" s="58">
        <f t="shared" si="31"/>
        <v>0</v>
      </c>
      <c r="K108" s="58">
        <f t="shared" si="32"/>
        <v>0</v>
      </c>
      <c r="L108" s="59">
        <f t="shared" si="33"/>
        <v>408604.70913499669</v>
      </c>
      <c r="M108" s="13">
        <f t="shared" si="34"/>
        <v>6798558.705554422</v>
      </c>
      <c r="N108" s="13">
        <f t="shared" si="35"/>
        <v>2451628254.8099804</v>
      </c>
      <c r="O108" s="72">
        <f t="shared" si="36"/>
        <v>-407913.52233314514</v>
      </c>
      <c r="P108" s="13">
        <v>166666.66666666666</v>
      </c>
      <c r="Q108" s="72">
        <f t="shared" si="37"/>
        <v>241938.04246833004</v>
      </c>
      <c r="R108" s="13">
        <f>VLOOKUP(A108,'IDI 18MARZO'!B:D,3,0)</f>
        <v>360.61</v>
      </c>
      <c r="S108" s="72">
        <f t="shared" si="38"/>
        <v>-6.0000000000002274E-2</v>
      </c>
    </row>
    <row r="109" spans="1:19" customFormat="1" x14ac:dyDescent="0.25">
      <c r="A109" s="88">
        <v>43882</v>
      </c>
      <c r="B109" s="84">
        <v>10</v>
      </c>
      <c r="C109" s="73">
        <f t="shared" si="16"/>
        <v>1.6666666666666666E-2</v>
      </c>
      <c r="D109" s="13">
        <f t="shared" si="27"/>
        <v>360.74</v>
      </c>
      <c r="E109" s="45">
        <f t="shared" si="28"/>
        <v>1133.0931175924036</v>
      </c>
      <c r="F109" s="82"/>
      <c r="G109" s="47">
        <f t="shared" si="29"/>
        <v>1133.0931175924036</v>
      </c>
      <c r="H109" s="57">
        <f t="shared" si="30"/>
        <v>408752.01124028367</v>
      </c>
      <c r="I109" s="58"/>
      <c r="J109" s="58">
        <f t="shared" si="31"/>
        <v>0</v>
      </c>
      <c r="K109" s="58">
        <f t="shared" si="32"/>
        <v>0</v>
      </c>
      <c r="L109" s="59">
        <f t="shared" si="33"/>
        <v>408752.01124028367</v>
      </c>
      <c r="M109" s="13">
        <f t="shared" si="34"/>
        <v>6798558.705554422</v>
      </c>
      <c r="N109" s="13">
        <f t="shared" si="35"/>
        <v>2452512067.4417024</v>
      </c>
      <c r="O109" s="72">
        <f t="shared" si="36"/>
        <v>883812.63172197342</v>
      </c>
      <c r="P109" s="13">
        <v>166666.66666666666</v>
      </c>
      <c r="Q109" s="72">
        <f t="shared" si="37"/>
        <v>242085.34457361701</v>
      </c>
      <c r="R109" s="13">
        <f>VLOOKUP(A109,'IDI 18MARZO'!B:D,3,0)</f>
        <v>360.74</v>
      </c>
      <c r="S109" s="72">
        <f t="shared" si="38"/>
        <v>0.12999999999999545</v>
      </c>
    </row>
    <row r="110" spans="1:19" customFormat="1" x14ac:dyDescent="0.25">
      <c r="A110" s="88">
        <v>43883</v>
      </c>
      <c r="B110" s="84">
        <v>10</v>
      </c>
      <c r="C110" s="73">
        <f t="shared" si="16"/>
        <v>1.6666666666666666E-2</v>
      </c>
      <c r="D110" s="13">
        <f t="shared" si="27"/>
        <v>360.74</v>
      </c>
      <c r="E110" s="45">
        <f t="shared" si="28"/>
        <v>1133.0931175924036</v>
      </c>
      <c r="F110" s="82"/>
      <c r="G110" s="47">
        <f t="shared" si="29"/>
        <v>1133.0931175924036</v>
      </c>
      <c r="H110" s="57">
        <f t="shared" si="30"/>
        <v>408752.01124028367</v>
      </c>
      <c r="I110" s="58"/>
      <c r="J110" s="58">
        <f t="shared" si="31"/>
        <v>0</v>
      </c>
      <c r="K110" s="58">
        <f t="shared" si="32"/>
        <v>0</v>
      </c>
      <c r="L110" s="59">
        <f t="shared" si="33"/>
        <v>408752.01124028367</v>
      </c>
      <c r="M110" s="13">
        <f t="shared" si="34"/>
        <v>6798558.705554422</v>
      </c>
      <c r="N110" s="13">
        <f t="shared" si="35"/>
        <v>2452512067.4417024</v>
      </c>
      <c r="O110" s="72">
        <f t="shared" si="36"/>
        <v>0</v>
      </c>
      <c r="P110" s="13">
        <v>166666.66666666666</v>
      </c>
      <c r="Q110" s="72">
        <f t="shared" si="37"/>
        <v>242085.34457361701</v>
      </c>
      <c r="R110" s="13">
        <f>VLOOKUP(A110,'IDI 18MARZO'!B:D,3,0)</f>
        <v>360.74</v>
      </c>
      <c r="S110" s="72">
        <f t="shared" si="38"/>
        <v>0</v>
      </c>
    </row>
    <row r="111" spans="1:19" customFormat="1" x14ac:dyDescent="0.25">
      <c r="A111" s="88">
        <v>43884</v>
      </c>
      <c r="B111" s="84">
        <v>10</v>
      </c>
      <c r="C111" s="73">
        <f t="shared" si="16"/>
        <v>1.6666666666666666E-2</v>
      </c>
      <c r="D111" s="13">
        <f t="shared" si="27"/>
        <v>360.74</v>
      </c>
      <c r="E111" s="45">
        <f t="shared" si="28"/>
        <v>1133.0931175924036</v>
      </c>
      <c r="F111" s="82"/>
      <c r="G111" s="47">
        <f t="shared" si="29"/>
        <v>1133.0931175924036</v>
      </c>
      <c r="H111" s="57">
        <f t="shared" si="30"/>
        <v>408752.01124028367</v>
      </c>
      <c r="I111" s="58"/>
      <c r="J111" s="58">
        <f t="shared" si="31"/>
        <v>0</v>
      </c>
      <c r="K111" s="58">
        <f t="shared" si="32"/>
        <v>0</v>
      </c>
      <c r="L111" s="59">
        <f t="shared" si="33"/>
        <v>408752.01124028367</v>
      </c>
      <c r="M111" s="13">
        <f t="shared" si="34"/>
        <v>6798558.705554422</v>
      </c>
      <c r="N111" s="13">
        <f t="shared" si="35"/>
        <v>2452512067.4417024</v>
      </c>
      <c r="O111" s="72">
        <f t="shared" si="36"/>
        <v>0</v>
      </c>
      <c r="P111" s="13">
        <v>166666.66666666666</v>
      </c>
      <c r="Q111" s="72">
        <f t="shared" si="37"/>
        <v>242085.34457361701</v>
      </c>
      <c r="R111" s="13">
        <f>VLOOKUP(A111,'IDI 18MARZO'!B:D,3,0)</f>
        <v>360.74</v>
      </c>
      <c r="S111" s="72">
        <f t="shared" si="38"/>
        <v>0</v>
      </c>
    </row>
    <row r="112" spans="1:19" customFormat="1" x14ac:dyDescent="0.25">
      <c r="A112" s="88">
        <v>43885</v>
      </c>
      <c r="B112" s="84">
        <v>10</v>
      </c>
      <c r="C112" s="73">
        <f t="shared" si="16"/>
        <v>1.6666666666666666E-2</v>
      </c>
      <c r="D112" s="13">
        <f t="shared" si="27"/>
        <v>360.74</v>
      </c>
      <c r="E112" s="45">
        <f t="shared" si="28"/>
        <v>1133.0931175924036</v>
      </c>
      <c r="F112" s="82"/>
      <c r="G112" s="47">
        <f t="shared" si="29"/>
        <v>1133.0931175924036</v>
      </c>
      <c r="H112" s="57">
        <f t="shared" si="30"/>
        <v>408752.01124028367</v>
      </c>
      <c r="I112" s="58"/>
      <c r="J112" s="58">
        <f t="shared" si="31"/>
        <v>0</v>
      </c>
      <c r="K112" s="58">
        <f t="shared" si="32"/>
        <v>0</v>
      </c>
      <c r="L112" s="59">
        <f t="shared" si="33"/>
        <v>408752.01124028367</v>
      </c>
      <c r="M112" s="13">
        <f t="shared" si="34"/>
        <v>6798558.705554422</v>
      </c>
      <c r="N112" s="13">
        <f t="shared" si="35"/>
        <v>2452512067.4417024</v>
      </c>
      <c r="O112" s="72">
        <f t="shared" si="36"/>
        <v>0</v>
      </c>
      <c r="P112" s="13">
        <v>166666.66666666666</v>
      </c>
      <c r="Q112" s="72">
        <f t="shared" si="37"/>
        <v>242085.34457361701</v>
      </c>
      <c r="R112" s="13">
        <f>VLOOKUP(A112,'IDI 18MARZO'!B:D,3,0)</f>
        <v>360.74</v>
      </c>
      <c r="S112" s="72">
        <f t="shared" si="38"/>
        <v>0</v>
      </c>
    </row>
    <row r="113" spans="1:19" customFormat="1" x14ac:dyDescent="0.25">
      <c r="A113" s="88">
        <v>43886</v>
      </c>
      <c r="B113" s="84">
        <v>10</v>
      </c>
      <c r="C113" s="73">
        <f t="shared" si="16"/>
        <v>1.6666666666666666E-2</v>
      </c>
      <c r="D113" s="13">
        <f t="shared" si="27"/>
        <v>360.74</v>
      </c>
      <c r="E113" s="45">
        <f t="shared" si="28"/>
        <v>1133.0931175924036</v>
      </c>
      <c r="F113" s="82"/>
      <c r="G113" s="47">
        <f t="shared" si="29"/>
        <v>1133.0931175924036</v>
      </c>
      <c r="H113" s="57">
        <f t="shared" si="30"/>
        <v>408752.01124028367</v>
      </c>
      <c r="I113" s="58"/>
      <c r="J113" s="58">
        <f t="shared" si="31"/>
        <v>0</v>
      </c>
      <c r="K113" s="58">
        <f t="shared" si="32"/>
        <v>0</v>
      </c>
      <c r="L113" s="59">
        <f t="shared" si="33"/>
        <v>408752.01124028367</v>
      </c>
      <c r="M113" s="13">
        <f t="shared" si="34"/>
        <v>6798558.705554422</v>
      </c>
      <c r="N113" s="13">
        <f t="shared" si="35"/>
        <v>2452512067.4417024</v>
      </c>
      <c r="O113" s="72">
        <f t="shared" si="36"/>
        <v>0</v>
      </c>
      <c r="P113" s="13">
        <v>166666.66666666666</v>
      </c>
      <c r="Q113" s="72">
        <f t="shared" si="37"/>
        <v>242085.34457361701</v>
      </c>
      <c r="R113" s="13">
        <f>VLOOKUP(A113,'IDI 18MARZO'!B:D,3,0)</f>
        <v>360.74</v>
      </c>
      <c r="S113" s="72">
        <f t="shared" si="38"/>
        <v>0</v>
      </c>
    </row>
    <row r="114" spans="1:19" customFormat="1" x14ac:dyDescent="0.25">
      <c r="A114" s="88">
        <v>43887</v>
      </c>
      <c r="B114" s="84">
        <v>10</v>
      </c>
      <c r="C114" s="73">
        <f t="shared" si="16"/>
        <v>1.6666666666666666E-2</v>
      </c>
      <c r="D114" s="13">
        <f t="shared" si="27"/>
        <v>358.61</v>
      </c>
      <c r="E114" s="45">
        <f t="shared" si="28"/>
        <v>1133.0931175924036</v>
      </c>
      <c r="F114" s="82"/>
      <c r="G114" s="47">
        <f t="shared" si="29"/>
        <v>1133.0931175924036</v>
      </c>
      <c r="H114" s="57">
        <f t="shared" si="30"/>
        <v>406338.52289981185</v>
      </c>
      <c r="I114" s="58"/>
      <c r="J114" s="58">
        <f t="shared" si="31"/>
        <v>0</v>
      </c>
      <c r="K114" s="58">
        <f t="shared" si="32"/>
        <v>0</v>
      </c>
      <c r="L114" s="59">
        <f t="shared" si="33"/>
        <v>406338.52289981185</v>
      </c>
      <c r="M114" s="13">
        <f t="shared" si="34"/>
        <v>6798558.705554422</v>
      </c>
      <c r="N114" s="13">
        <f t="shared" si="35"/>
        <v>2438031137.3988714</v>
      </c>
      <c r="O114" s="72">
        <f t="shared" si="36"/>
        <v>-14480930.042830944</v>
      </c>
      <c r="P114" s="13">
        <v>166666.66666666666</v>
      </c>
      <c r="Q114" s="72">
        <f t="shared" si="37"/>
        <v>239671.8562331452</v>
      </c>
      <c r="R114" s="13">
        <f>VLOOKUP(A114,'IDI 18MARZO'!B:D,3,0)</f>
        <v>358.61</v>
      </c>
      <c r="S114" s="72">
        <f t="shared" si="38"/>
        <v>-2.1299999999999955</v>
      </c>
    </row>
    <row r="115" spans="1:19" customFormat="1" x14ac:dyDescent="0.25">
      <c r="A115" s="88">
        <v>43888</v>
      </c>
      <c r="B115" s="84">
        <v>10</v>
      </c>
      <c r="C115" s="73">
        <f t="shared" si="16"/>
        <v>1.6666666666666666E-2</v>
      </c>
      <c r="D115" s="13">
        <f t="shared" si="27"/>
        <v>359.84</v>
      </c>
      <c r="E115" s="45">
        <f t="shared" si="28"/>
        <v>1133.0931175924036</v>
      </c>
      <c r="F115" s="82"/>
      <c r="G115" s="47">
        <f t="shared" si="29"/>
        <v>1133.0931175924036</v>
      </c>
      <c r="H115" s="57">
        <f t="shared" si="30"/>
        <v>407732.22743445047</v>
      </c>
      <c r="I115" s="58"/>
      <c r="J115" s="58">
        <f t="shared" si="31"/>
        <v>0</v>
      </c>
      <c r="K115" s="58">
        <f t="shared" si="32"/>
        <v>0</v>
      </c>
      <c r="L115" s="59">
        <f t="shared" si="33"/>
        <v>407732.22743445047</v>
      </c>
      <c r="M115" s="13">
        <f t="shared" si="34"/>
        <v>6798558.705554422</v>
      </c>
      <c r="N115" s="13">
        <f t="shared" si="35"/>
        <v>2446393364.6067028</v>
      </c>
      <c r="O115" s="72">
        <f t="shared" si="36"/>
        <v>8362227.2078313828</v>
      </c>
      <c r="P115" s="13">
        <v>166666.66666666666</v>
      </c>
      <c r="Q115" s="72">
        <f t="shared" si="37"/>
        <v>241065.56076778381</v>
      </c>
      <c r="R115" s="13">
        <f>VLOOKUP(A115,'IDI 18MARZO'!B:D,3,0)</f>
        <v>359.84</v>
      </c>
      <c r="S115" s="72">
        <f t="shared" si="38"/>
        <v>1.2299999999999613</v>
      </c>
    </row>
    <row r="116" spans="1:19" customFormat="1" x14ac:dyDescent="0.25">
      <c r="A116" s="88">
        <v>43889</v>
      </c>
      <c r="B116" s="84">
        <v>10</v>
      </c>
      <c r="C116" s="73">
        <f t="shared" si="16"/>
        <v>1.6666666666666666E-2</v>
      </c>
      <c r="D116" s="13">
        <f t="shared" si="27"/>
        <v>360.08</v>
      </c>
      <c r="E116" s="45">
        <f t="shared" si="28"/>
        <v>1133.0931175924036</v>
      </c>
      <c r="F116" s="82"/>
      <c r="G116" s="47">
        <f t="shared" si="29"/>
        <v>1133.0931175924036</v>
      </c>
      <c r="H116" s="57">
        <f t="shared" si="30"/>
        <v>408004.16978267266</v>
      </c>
      <c r="I116" s="58"/>
      <c r="J116" s="58">
        <f t="shared" si="31"/>
        <v>0</v>
      </c>
      <c r="K116" s="58">
        <f t="shared" si="32"/>
        <v>0</v>
      </c>
      <c r="L116" s="59">
        <f t="shared" si="33"/>
        <v>408004.16978267266</v>
      </c>
      <c r="M116" s="13">
        <f t="shared" si="34"/>
        <v>6798558.705554422</v>
      </c>
      <c r="N116" s="13">
        <f t="shared" si="35"/>
        <v>2448025018.6960363</v>
      </c>
      <c r="O116" s="72">
        <f t="shared" si="36"/>
        <v>1631654.0893335342</v>
      </c>
      <c r="P116" s="13">
        <v>166666.66666666666</v>
      </c>
      <c r="Q116" s="72">
        <f t="shared" si="37"/>
        <v>241337.503116006</v>
      </c>
      <c r="R116" s="13">
        <f>VLOOKUP(A116,'IDI 18MARZO'!B:D,3,0)</f>
        <v>360.08</v>
      </c>
      <c r="S116" s="72">
        <f t="shared" si="38"/>
        <v>0.24000000000000909</v>
      </c>
    </row>
    <row r="117" spans="1:19" customFormat="1" x14ac:dyDescent="0.25">
      <c r="A117" s="88">
        <v>43890</v>
      </c>
      <c r="B117" s="84">
        <v>10</v>
      </c>
      <c r="C117" s="73">
        <f t="shared" si="16"/>
        <v>1.6666666666666666E-2</v>
      </c>
      <c r="D117" s="13">
        <f t="shared" si="27"/>
        <v>360.08</v>
      </c>
      <c r="E117" s="45">
        <f t="shared" si="28"/>
        <v>1133.0931175924036</v>
      </c>
      <c r="F117" s="82"/>
      <c r="G117" s="47">
        <f t="shared" si="29"/>
        <v>1133.0931175924036</v>
      </c>
      <c r="H117" s="57">
        <f t="shared" si="30"/>
        <v>408004.16978267266</v>
      </c>
      <c r="I117" s="58"/>
      <c r="J117" s="58">
        <f t="shared" si="31"/>
        <v>0</v>
      </c>
      <c r="K117" s="58">
        <f t="shared" si="32"/>
        <v>0</v>
      </c>
      <c r="L117" s="59">
        <f t="shared" si="33"/>
        <v>408004.16978267266</v>
      </c>
      <c r="M117" s="13">
        <f t="shared" si="34"/>
        <v>6798558.705554422</v>
      </c>
      <c r="N117" s="13">
        <f t="shared" si="35"/>
        <v>2448025018.6960363</v>
      </c>
      <c r="O117" s="72">
        <f t="shared" si="36"/>
        <v>0</v>
      </c>
      <c r="P117" s="13">
        <v>166666.66666666666</v>
      </c>
      <c r="Q117" s="72">
        <f t="shared" si="37"/>
        <v>241337.503116006</v>
      </c>
      <c r="R117" s="13">
        <f>VLOOKUP(A117,'IDI 18MARZO'!B:D,3,0)</f>
        <v>360.08</v>
      </c>
      <c r="S117" s="72">
        <f t="shared" si="38"/>
        <v>0</v>
      </c>
    </row>
    <row r="118" spans="1:19" customFormat="1" x14ac:dyDescent="0.25">
      <c r="A118" s="88">
        <v>43891</v>
      </c>
      <c r="B118" s="84">
        <v>10</v>
      </c>
      <c r="C118" s="73">
        <f t="shared" si="16"/>
        <v>1.6666666666666666E-2</v>
      </c>
      <c r="D118" s="13">
        <f t="shared" si="27"/>
        <v>360.08</v>
      </c>
      <c r="E118" s="45">
        <f t="shared" si="28"/>
        <v>1133.0931175924036</v>
      </c>
      <c r="F118" s="82"/>
      <c r="G118" s="47">
        <f t="shared" si="29"/>
        <v>1133.0931175924036</v>
      </c>
      <c r="H118" s="57">
        <f t="shared" si="30"/>
        <v>408004.16978267266</v>
      </c>
      <c r="I118" s="58"/>
      <c r="J118" s="58">
        <f t="shared" si="31"/>
        <v>0</v>
      </c>
      <c r="K118" s="58">
        <f t="shared" si="32"/>
        <v>0</v>
      </c>
      <c r="L118" s="59">
        <f t="shared" si="33"/>
        <v>408004.16978267266</v>
      </c>
      <c r="M118" s="13">
        <f t="shared" si="34"/>
        <v>6798558.705554422</v>
      </c>
      <c r="N118" s="13">
        <f t="shared" si="35"/>
        <v>2448025018.6960363</v>
      </c>
      <c r="O118" s="72">
        <f t="shared" si="36"/>
        <v>0</v>
      </c>
      <c r="P118" s="13">
        <v>166666.66666666666</v>
      </c>
      <c r="Q118" s="72">
        <f t="shared" si="37"/>
        <v>241337.503116006</v>
      </c>
      <c r="R118" s="13">
        <f>VLOOKUP(A118,'IDI 18MARZO'!B:D,3,0)</f>
        <v>360.08</v>
      </c>
      <c r="S118" s="72">
        <f t="shared" si="38"/>
        <v>0</v>
      </c>
    </row>
    <row r="119" spans="1:19" customFormat="1" x14ac:dyDescent="0.25">
      <c r="A119" s="88">
        <v>43892</v>
      </c>
      <c r="B119" s="84">
        <v>10</v>
      </c>
      <c r="C119" s="73">
        <f t="shared" si="16"/>
        <v>1.6666666666666666E-2</v>
      </c>
      <c r="D119" s="13">
        <f t="shared" si="27"/>
        <v>362.23</v>
      </c>
      <c r="E119" s="45">
        <f t="shared" si="28"/>
        <v>1133.0931175924036</v>
      </c>
      <c r="F119" s="82"/>
      <c r="G119" s="47">
        <f t="shared" si="29"/>
        <v>1133.0931175924036</v>
      </c>
      <c r="H119" s="57">
        <f t="shared" si="30"/>
        <v>410440.31998549635</v>
      </c>
      <c r="I119" s="58"/>
      <c r="J119" s="58">
        <f t="shared" si="31"/>
        <v>0</v>
      </c>
      <c r="K119" s="58">
        <f t="shared" si="32"/>
        <v>0</v>
      </c>
      <c r="L119" s="59">
        <f t="shared" si="33"/>
        <v>410440.31998549635</v>
      </c>
      <c r="M119" s="13">
        <f t="shared" si="34"/>
        <v>6798558.705554422</v>
      </c>
      <c r="N119" s="13">
        <f t="shared" si="35"/>
        <v>2462641919.9129782</v>
      </c>
      <c r="O119" s="72">
        <f t="shared" si="36"/>
        <v>14616901.216941833</v>
      </c>
      <c r="P119" s="13">
        <v>166666.66666666666</v>
      </c>
      <c r="Q119" s="72">
        <f t="shared" si="37"/>
        <v>243773.65331882969</v>
      </c>
      <c r="R119" s="13">
        <f>VLOOKUP(A119,'IDI 18MARZO'!B:D,3,0)</f>
        <v>362.23</v>
      </c>
      <c r="S119" s="72">
        <f t="shared" si="38"/>
        <v>2.1500000000000341</v>
      </c>
    </row>
    <row r="120" spans="1:19" customFormat="1" x14ac:dyDescent="0.25">
      <c r="A120" s="88">
        <v>43893</v>
      </c>
      <c r="B120" s="84">
        <v>10</v>
      </c>
      <c r="C120" s="73">
        <f t="shared" si="16"/>
        <v>1.6666666666666666E-2</v>
      </c>
      <c r="D120" s="13">
        <f t="shared" si="27"/>
        <v>361.72</v>
      </c>
      <c r="E120" s="45">
        <f t="shared" si="28"/>
        <v>1133.0931175924036</v>
      </c>
      <c r="F120" s="82"/>
      <c r="G120" s="47">
        <f t="shared" si="29"/>
        <v>1133.0931175924036</v>
      </c>
      <c r="H120" s="57">
        <f t="shared" si="30"/>
        <v>409862.44249552424</v>
      </c>
      <c r="I120" s="58"/>
      <c r="J120" s="58">
        <f t="shared" si="31"/>
        <v>0</v>
      </c>
      <c r="K120" s="58">
        <f t="shared" si="32"/>
        <v>0</v>
      </c>
      <c r="L120" s="59">
        <f t="shared" si="33"/>
        <v>409862.44249552424</v>
      </c>
      <c r="M120" s="13">
        <f t="shared" si="34"/>
        <v>6798558.705554422</v>
      </c>
      <c r="N120" s="13">
        <f t="shared" si="35"/>
        <v>2459174654.9731455</v>
      </c>
      <c r="O120" s="72">
        <f t="shared" si="36"/>
        <v>-3467264.9398326874</v>
      </c>
      <c r="P120" s="13">
        <v>166666.66666666666</v>
      </c>
      <c r="Q120" s="72">
        <f t="shared" si="37"/>
        <v>243195.77582885759</v>
      </c>
      <c r="R120" s="13">
        <f>VLOOKUP(A120,'IDI 18MARZO'!B:D,3,0)</f>
        <v>361.72</v>
      </c>
      <c r="S120" s="72">
        <f t="shared" si="38"/>
        <v>-0.50999999999999091</v>
      </c>
    </row>
    <row r="121" spans="1:19" customFormat="1" x14ac:dyDescent="0.25">
      <c r="A121" s="88">
        <v>43894</v>
      </c>
      <c r="B121" s="84">
        <v>10</v>
      </c>
      <c r="C121" s="73">
        <f t="shared" si="16"/>
        <v>1.6666666666666666E-2</v>
      </c>
      <c r="D121" s="13">
        <f t="shared" si="27"/>
        <v>360.95</v>
      </c>
      <c r="E121" s="45">
        <f t="shared" si="28"/>
        <v>1133.0931175924036</v>
      </c>
      <c r="F121" s="82"/>
      <c r="G121" s="47">
        <f t="shared" si="29"/>
        <v>1133.0931175924036</v>
      </c>
      <c r="H121" s="57">
        <f t="shared" si="30"/>
        <v>408989.96079497808</v>
      </c>
      <c r="I121" s="58"/>
      <c r="J121" s="58">
        <f t="shared" si="31"/>
        <v>0</v>
      </c>
      <c r="K121" s="58">
        <f t="shared" si="32"/>
        <v>0</v>
      </c>
      <c r="L121" s="59">
        <f t="shared" si="33"/>
        <v>408989.96079497808</v>
      </c>
      <c r="M121" s="13">
        <f t="shared" si="34"/>
        <v>6798558.705554422</v>
      </c>
      <c r="N121" s="13">
        <f t="shared" si="35"/>
        <v>2453939764.7698684</v>
      </c>
      <c r="O121" s="72">
        <f t="shared" si="36"/>
        <v>-5234890.2032771111</v>
      </c>
      <c r="P121" s="13">
        <v>166666.66666666666</v>
      </c>
      <c r="Q121" s="72">
        <f t="shared" si="37"/>
        <v>242323.29412831142</v>
      </c>
      <c r="R121" s="13">
        <f>VLOOKUP(A121,'IDI 18MARZO'!B:D,3,0)</f>
        <v>360.95</v>
      </c>
      <c r="S121" s="72">
        <f t="shared" si="38"/>
        <v>-0.77000000000003865</v>
      </c>
    </row>
    <row r="122" spans="1:19" customFormat="1" x14ac:dyDescent="0.25">
      <c r="A122" s="88">
        <v>43895</v>
      </c>
      <c r="B122" s="84">
        <v>10</v>
      </c>
      <c r="C122" s="73">
        <f t="shared" si="16"/>
        <v>1.6666666666666666E-2</v>
      </c>
      <c r="D122" s="13">
        <f t="shared" si="27"/>
        <v>360.09</v>
      </c>
      <c r="E122" s="45">
        <f t="shared" si="28"/>
        <v>1133.0931175924036</v>
      </c>
      <c r="F122" s="82"/>
      <c r="G122" s="47">
        <f t="shared" si="29"/>
        <v>1133.0931175924036</v>
      </c>
      <c r="H122" s="57">
        <f t="shared" si="30"/>
        <v>408015.50071384857</v>
      </c>
      <c r="I122" s="58"/>
      <c r="J122" s="58">
        <f t="shared" si="31"/>
        <v>0</v>
      </c>
      <c r="K122" s="58">
        <f t="shared" si="32"/>
        <v>0</v>
      </c>
      <c r="L122" s="59">
        <f t="shared" si="33"/>
        <v>408015.50071384857</v>
      </c>
      <c r="M122" s="13">
        <f t="shared" si="34"/>
        <v>6798558.705554422</v>
      </c>
      <c r="N122" s="13">
        <f t="shared" si="35"/>
        <v>2448093004.2830915</v>
      </c>
      <c r="O122" s="72">
        <f t="shared" si="36"/>
        <v>-5846760.4867768288</v>
      </c>
      <c r="P122" s="13">
        <v>166666.66666666666</v>
      </c>
      <c r="Q122" s="72">
        <f t="shared" si="37"/>
        <v>241348.83404718191</v>
      </c>
      <c r="R122" s="13">
        <f>VLOOKUP(A122,'IDI 18MARZO'!B:D,3,0)</f>
        <v>360.09</v>
      </c>
      <c r="S122" s="72">
        <f t="shared" si="38"/>
        <v>-0.86000000000001364</v>
      </c>
    </row>
    <row r="123" spans="1:19" customFormat="1" x14ac:dyDescent="0.25">
      <c r="A123" s="88">
        <v>43896</v>
      </c>
      <c r="B123" s="84">
        <v>10</v>
      </c>
      <c r="C123" s="73">
        <f t="shared" si="16"/>
        <v>1.6666666666666666E-2</v>
      </c>
      <c r="D123" s="13">
        <f t="shared" si="27"/>
        <v>357.84</v>
      </c>
      <c r="E123" s="45">
        <f t="shared" si="28"/>
        <v>1133.0931175924036</v>
      </c>
      <c r="F123" s="82"/>
      <c r="G123" s="47">
        <f t="shared" si="29"/>
        <v>1133.0931175924036</v>
      </c>
      <c r="H123" s="57">
        <f t="shared" si="30"/>
        <v>405466.04119926569</v>
      </c>
      <c r="I123" s="58"/>
      <c r="J123" s="58">
        <f t="shared" si="31"/>
        <v>0</v>
      </c>
      <c r="K123" s="58">
        <f t="shared" si="32"/>
        <v>0</v>
      </c>
      <c r="L123" s="59">
        <f t="shared" si="33"/>
        <v>405466.04119926569</v>
      </c>
      <c r="M123" s="13">
        <f t="shared" si="34"/>
        <v>6798558.705554422</v>
      </c>
      <c r="N123" s="13">
        <f t="shared" si="35"/>
        <v>2432796247.1955943</v>
      </c>
      <c r="O123" s="72">
        <f t="shared" si="36"/>
        <v>-15296757.087497234</v>
      </c>
      <c r="P123" s="13">
        <v>166666.66666666666</v>
      </c>
      <c r="Q123" s="72">
        <f t="shared" si="37"/>
        <v>238799.37453259903</v>
      </c>
      <c r="R123" s="13">
        <f>VLOOKUP(A123,'IDI 18MARZO'!B:D,3,0)</f>
        <v>357.84</v>
      </c>
      <c r="S123" s="72">
        <f t="shared" si="38"/>
        <v>-2.25</v>
      </c>
    </row>
    <row r="124" spans="1:19" customFormat="1" x14ac:dyDescent="0.25">
      <c r="A124" s="88">
        <v>43897</v>
      </c>
      <c r="B124" s="84">
        <v>10</v>
      </c>
      <c r="C124" s="73">
        <f t="shared" si="16"/>
        <v>1.6666666666666666E-2</v>
      </c>
      <c r="D124" s="13">
        <f t="shared" si="27"/>
        <v>357.84</v>
      </c>
      <c r="E124" s="45">
        <f t="shared" si="28"/>
        <v>1133.0931175924036</v>
      </c>
      <c r="F124" s="82"/>
      <c r="G124" s="47">
        <f t="shared" si="29"/>
        <v>1133.0931175924036</v>
      </c>
      <c r="H124" s="57">
        <f t="shared" si="30"/>
        <v>405466.04119926569</v>
      </c>
      <c r="I124" s="58"/>
      <c r="J124" s="58">
        <f t="shared" si="31"/>
        <v>0</v>
      </c>
      <c r="K124" s="58">
        <f t="shared" si="32"/>
        <v>0</v>
      </c>
      <c r="L124" s="59">
        <f t="shared" si="33"/>
        <v>405466.04119926569</v>
      </c>
      <c r="M124" s="13">
        <f t="shared" si="34"/>
        <v>6798558.705554422</v>
      </c>
      <c r="N124" s="13">
        <f t="shared" si="35"/>
        <v>2432796247.1955943</v>
      </c>
      <c r="O124" s="72">
        <f t="shared" si="36"/>
        <v>0</v>
      </c>
      <c r="P124" s="13">
        <v>166666.66666666666</v>
      </c>
      <c r="Q124" s="72">
        <f t="shared" si="37"/>
        <v>238799.37453259903</v>
      </c>
      <c r="R124" s="13">
        <f>VLOOKUP(A124,'IDI 18MARZO'!B:D,3,0)</f>
        <v>357.84</v>
      </c>
      <c r="S124" s="72">
        <f t="shared" si="38"/>
        <v>0</v>
      </c>
    </row>
    <row r="125" spans="1:19" customFormat="1" x14ac:dyDescent="0.25">
      <c r="A125" s="88">
        <v>43898</v>
      </c>
      <c r="B125" s="84">
        <v>10</v>
      </c>
      <c r="C125" s="73">
        <f t="shared" si="16"/>
        <v>1.6666666666666666E-2</v>
      </c>
      <c r="D125" s="13">
        <f t="shared" si="27"/>
        <v>357.84</v>
      </c>
      <c r="E125" s="45">
        <f t="shared" si="28"/>
        <v>1133.0931175924036</v>
      </c>
      <c r="F125" s="82"/>
      <c r="G125" s="47">
        <f t="shared" si="29"/>
        <v>1133.0931175924036</v>
      </c>
      <c r="H125" s="57">
        <f t="shared" si="30"/>
        <v>405466.04119926569</v>
      </c>
      <c r="I125" s="58"/>
      <c r="J125" s="58">
        <f t="shared" si="31"/>
        <v>0</v>
      </c>
      <c r="K125" s="58">
        <f t="shared" si="32"/>
        <v>0</v>
      </c>
      <c r="L125" s="59">
        <f t="shared" si="33"/>
        <v>405466.04119926569</v>
      </c>
      <c r="M125" s="13">
        <f t="shared" si="34"/>
        <v>6798558.705554422</v>
      </c>
      <c r="N125" s="13">
        <f t="shared" si="35"/>
        <v>2432796247.1955943</v>
      </c>
      <c r="O125" s="72">
        <f t="shared" si="36"/>
        <v>0</v>
      </c>
      <c r="P125" s="13">
        <v>166666.66666666666</v>
      </c>
      <c r="Q125" s="72">
        <f t="shared" si="37"/>
        <v>238799.37453259903</v>
      </c>
      <c r="R125" s="13">
        <f>VLOOKUP(A125,'IDI 18MARZO'!B:D,3,0)</f>
        <v>357.84</v>
      </c>
      <c r="S125" s="72">
        <f t="shared" si="38"/>
        <v>0</v>
      </c>
    </row>
    <row r="126" spans="1:19" customFormat="1" x14ac:dyDescent="0.25">
      <c r="A126" s="88">
        <v>43899</v>
      </c>
      <c r="B126" s="84">
        <v>10</v>
      </c>
      <c r="C126" s="73">
        <f t="shared" si="16"/>
        <v>1.6666666666666666E-2</v>
      </c>
      <c r="D126" s="13">
        <f t="shared" si="27"/>
        <v>357.99</v>
      </c>
      <c r="E126" s="45">
        <f t="shared" si="28"/>
        <v>1133.0931175924036</v>
      </c>
      <c r="F126" s="82"/>
      <c r="G126" s="47">
        <f t="shared" si="29"/>
        <v>1133.0931175924036</v>
      </c>
      <c r="H126" s="57">
        <f t="shared" si="30"/>
        <v>405636.00516690459</v>
      </c>
      <c r="I126" s="58"/>
      <c r="J126" s="58">
        <f t="shared" si="31"/>
        <v>0</v>
      </c>
      <c r="K126" s="58">
        <f t="shared" si="32"/>
        <v>0</v>
      </c>
      <c r="L126" s="59">
        <f t="shared" si="33"/>
        <v>405636.00516690459</v>
      </c>
      <c r="M126" s="13">
        <f t="shared" si="34"/>
        <v>6798558.705554422</v>
      </c>
      <c r="N126" s="13">
        <f t="shared" si="35"/>
        <v>2433816031.0014277</v>
      </c>
      <c r="O126" s="72">
        <f t="shared" si="36"/>
        <v>1019783.8058333397</v>
      </c>
      <c r="P126" s="13">
        <v>166666.66666666666</v>
      </c>
      <c r="Q126" s="72">
        <f t="shared" si="37"/>
        <v>238969.33850023794</v>
      </c>
      <c r="R126" s="13">
        <f>VLOOKUP(A126,'IDI 18MARZO'!B:D,3,0)</f>
        <v>357.99</v>
      </c>
      <c r="S126" s="72">
        <f t="shared" si="38"/>
        <v>0.15000000000003411</v>
      </c>
    </row>
    <row r="127" spans="1:19" customFormat="1" x14ac:dyDescent="0.25">
      <c r="A127" s="88">
        <v>43900</v>
      </c>
      <c r="B127" s="84">
        <v>10</v>
      </c>
      <c r="C127" s="73">
        <f t="shared" si="16"/>
        <v>1.6666666666666666E-2</v>
      </c>
      <c r="D127" s="13">
        <f t="shared" si="27"/>
        <v>358.14</v>
      </c>
      <c r="E127" s="45">
        <f t="shared" si="28"/>
        <v>1133.0931175924036</v>
      </c>
      <c r="F127" s="82"/>
      <c r="G127" s="47">
        <f t="shared" si="29"/>
        <v>1133.0931175924036</v>
      </c>
      <c r="H127" s="57">
        <f t="shared" si="30"/>
        <v>405805.96913454338</v>
      </c>
      <c r="I127" s="58"/>
      <c r="J127" s="58">
        <f t="shared" si="31"/>
        <v>0</v>
      </c>
      <c r="K127" s="58">
        <f t="shared" si="32"/>
        <v>0</v>
      </c>
      <c r="L127" s="59">
        <f t="shared" si="33"/>
        <v>405805.96913454338</v>
      </c>
      <c r="M127" s="13">
        <f t="shared" si="34"/>
        <v>6798558.705554422</v>
      </c>
      <c r="N127" s="13">
        <f t="shared" si="35"/>
        <v>2434835814.8072605</v>
      </c>
      <c r="O127" s="72">
        <f t="shared" si="36"/>
        <v>1019783.8058328629</v>
      </c>
      <c r="P127" s="13">
        <v>166666.66666666666</v>
      </c>
      <c r="Q127" s="72">
        <f t="shared" si="37"/>
        <v>239139.30246787673</v>
      </c>
      <c r="R127" s="13">
        <f>VLOOKUP(A127,'IDI 18MARZO'!B:D,3,0)</f>
        <v>358.14</v>
      </c>
      <c r="S127" s="72">
        <f t="shared" si="38"/>
        <v>0.14999999999997726</v>
      </c>
    </row>
    <row r="128" spans="1:19" customFormat="1" x14ac:dyDescent="0.25">
      <c r="A128" s="88">
        <v>43901</v>
      </c>
      <c r="B128" s="84">
        <v>10</v>
      </c>
      <c r="C128" s="73">
        <f t="shared" si="16"/>
        <v>1.6666666666666666E-2</v>
      </c>
      <c r="D128" s="13">
        <f t="shared" si="27"/>
        <v>358.53</v>
      </c>
      <c r="E128" s="45">
        <f t="shared" si="28"/>
        <v>1133.0931175924036</v>
      </c>
      <c r="F128" s="82"/>
      <c r="G128" s="47">
        <f t="shared" si="29"/>
        <v>1133.0931175924036</v>
      </c>
      <c r="H128" s="57">
        <f t="shared" si="30"/>
        <v>406247.87545040442</v>
      </c>
      <c r="I128" s="58"/>
      <c r="J128" s="58">
        <f t="shared" si="31"/>
        <v>0</v>
      </c>
      <c r="K128" s="58">
        <f t="shared" si="32"/>
        <v>0</v>
      </c>
      <c r="L128" s="59">
        <f t="shared" si="33"/>
        <v>406247.87545040442</v>
      </c>
      <c r="M128" s="13">
        <f t="shared" si="34"/>
        <v>6798558.705554422</v>
      </c>
      <c r="N128" s="13">
        <f t="shared" si="35"/>
        <v>2437487252.7024269</v>
      </c>
      <c r="O128" s="72">
        <f t="shared" si="36"/>
        <v>2651437.8951663971</v>
      </c>
      <c r="P128" s="13">
        <v>166666.66666666666</v>
      </c>
      <c r="Q128" s="72">
        <f t="shared" si="37"/>
        <v>239581.20878373776</v>
      </c>
      <c r="R128" s="13">
        <f>VLOOKUP(A128,'IDI 18MARZO'!B:D,3,0)</f>
        <v>358.53</v>
      </c>
      <c r="S128" s="72">
        <f t="shared" si="38"/>
        <v>0.38999999999998636</v>
      </c>
    </row>
    <row r="129" spans="1:19" customFormat="1" x14ac:dyDescent="0.25">
      <c r="A129" s="88">
        <v>43902</v>
      </c>
      <c r="B129" s="84">
        <v>10</v>
      </c>
      <c r="C129" s="73">
        <f t="shared" si="16"/>
        <v>1.6666666666666666E-2</v>
      </c>
      <c r="D129" s="13">
        <f t="shared" si="27"/>
        <v>360.07</v>
      </c>
      <c r="E129" s="45">
        <f t="shared" si="28"/>
        <v>1133.0931175924036</v>
      </c>
      <c r="F129" s="82"/>
      <c r="G129" s="47">
        <f t="shared" si="29"/>
        <v>1133.0931175924036</v>
      </c>
      <c r="H129" s="57">
        <f t="shared" si="30"/>
        <v>407992.83885149675</v>
      </c>
      <c r="I129" s="58"/>
      <c r="J129" s="58">
        <f t="shared" si="31"/>
        <v>0</v>
      </c>
      <c r="K129" s="58">
        <f t="shared" si="32"/>
        <v>0</v>
      </c>
      <c r="L129" s="59">
        <f t="shared" si="33"/>
        <v>407992.83885149675</v>
      </c>
      <c r="M129" s="13">
        <f t="shared" si="34"/>
        <v>6798558.705554422</v>
      </c>
      <c r="N129" s="13">
        <f t="shared" si="35"/>
        <v>2447957033.1089807</v>
      </c>
      <c r="O129" s="72">
        <f t="shared" si="36"/>
        <v>10469780.406553745</v>
      </c>
      <c r="P129" s="13">
        <v>166666.66666666666</v>
      </c>
      <c r="Q129" s="72">
        <f t="shared" si="37"/>
        <v>241326.17218483009</v>
      </c>
      <c r="R129" s="13">
        <f>VLOOKUP(A129,'IDI 18MARZO'!B:D,3,0)</f>
        <v>360.07</v>
      </c>
      <c r="S129" s="72">
        <f t="shared" si="38"/>
        <v>1.5400000000000205</v>
      </c>
    </row>
    <row r="130" spans="1:19" customFormat="1" x14ac:dyDescent="0.25">
      <c r="A130" s="88">
        <v>43903</v>
      </c>
      <c r="B130" s="84">
        <v>10</v>
      </c>
      <c r="C130" s="73">
        <f t="shared" si="16"/>
        <v>1.6666666666666666E-2</v>
      </c>
      <c r="D130" s="13">
        <f t="shared" si="27"/>
        <v>360.26</v>
      </c>
      <c r="E130" s="45">
        <f t="shared" si="28"/>
        <v>1133.0931175924036</v>
      </c>
      <c r="F130" s="82"/>
      <c r="G130" s="47">
        <f t="shared" si="29"/>
        <v>1133.0931175924036</v>
      </c>
      <c r="H130" s="57">
        <f t="shared" si="30"/>
        <v>408208.12654383929</v>
      </c>
      <c r="I130" s="58"/>
      <c r="J130" s="58">
        <f t="shared" si="31"/>
        <v>0</v>
      </c>
      <c r="K130" s="58">
        <f t="shared" si="32"/>
        <v>0</v>
      </c>
      <c r="L130" s="59">
        <f t="shared" si="33"/>
        <v>408208.12654383929</v>
      </c>
      <c r="M130" s="13">
        <f t="shared" si="34"/>
        <v>6798558.705554422</v>
      </c>
      <c r="N130" s="13">
        <f t="shared" si="35"/>
        <v>2449248759.2630358</v>
      </c>
      <c r="O130" s="72">
        <f t="shared" si="36"/>
        <v>1291726.1540551186</v>
      </c>
      <c r="P130" s="13">
        <v>166666.66666666666</v>
      </c>
      <c r="Q130" s="72">
        <f t="shared" si="37"/>
        <v>241541.45987717263</v>
      </c>
      <c r="R130" s="13">
        <f>VLOOKUP(A130,'IDI 18MARZO'!B:D,3,0)</f>
        <v>360.26</v>
      </c>
      <c r="S130" s="72">
        <f t="shared" si="38"/>
        <v>0.18999999999999773</v>
      </c>
    </row>
    <row r="131" spans="1:19" customFormat="1" x14ac:dyDescent="0.25">
      <c r="A131" s="88">
        <v>43904</v>
      </c>
      <c r="B131" s="84">
        <v>10</v>
      </c>
      <c r="C131" s="73">
        <f t="shared" si="16"/>
        <v>1.6666666666666666E-2</v>
      </c>
      <c r="D131" s="13">
        <f t="shared" si="27"/>
        <v>360.26</v>
      </c>
      <c r="E131" s="45">
        <f t="shared" si="28"/>
        <v>1133.0931175924036</v>
      </c>
      <c r="F131" s="82"/>
      <c r="G131" s="47">
        <f t="shared" si="29"/>
        <v>1133.0931175924036</v>
      </c>
      <c r="H131" s="57">
        <f t="shared" si="30"/>
        <v>408208.12654383929</v>
      </c>
      <c r="I131" s="58"/>
      <c r="J131" s="58">
        <f t="shared" si="31"/>
        <v>0</v>
      </c>
      <c r="K131" s="58">
        <f t="shared" si="32"/>
        <v>0</v>
      </c>
      <c r="L131" s="59">
        <f t="shared" si="33"/>
        <v>408208.12654383929</v>
      </c>
      <c r="M131" s="13">
        <f t="shared" si="34"/>
        <v>6798558.705554422</v>
      </c>
      <c r="N131" s="13">
        <f t="shared" si="35"/>
        <v>2449248759.2630358</v>
      </c>
      <c r="O131" s="72">
        <f t="shared" si="36"/>
        <v>0</v>
      </c>
      <c r="P131" s="13">
        <v>166666.66666666666</v>
      </c>
      <c r="Q131" s="72">
        <f t="shared" si="37"/>
        <v>241541.45987717263</v>
      </c>
      <c r="R131" s="13">
        <f>VLOOKUP(A131,'IDI 18MARZO'!B:D,3,0)</f>
        <v>360.26</v>
      </c>
      <c r="S131" s="72">
        <f t="shared" si="38"/>
        <v>0</v>
      </c>
    </row>
    <row r="132" spans="1:19" customFormat="1" x14ac:dyDescent="0.25">
      <c r="A132" s="88">
        <v>43905</v>
      </c>
      <c r="B132" s="84">
        <v>10</v>
      </c>
      <c r="C132" s="73">
        <f t="shared" si="16"/>
        <v>1.6666666666666666E-2</v>
      </c>
      <c r="D132" s="13">
        <f t="shared" si="27"/>
        <v>360.26</v>
      </c>
      <c r="E132" s="45">
        <f t="shared" si="28"/>
        <v>1133.0931175924036</v>
      </c>
      <c r="F132" s="13">
        <f>+M102</f>
        <v>6798558.705554422</v>
      </c>
      <c r="G132" s="47">
        <f t="shared" si="29"/>
        <v>6799691.7986720148</v>
      </c>
      <c r="H132" s="57">
        <f t="shared" si="30"/>
        <v>408208.12654383929</v>
      </c>
      <c r="I132" s="58">
        <f>C6</f>
        <v>1000000000</v>
      </c>
      <c r="J132" s="86">
        <f>+F132*D132-I132</f>
        <v>1449248759.2630358</v>
      </c>
      <c r="K132" s="58">
        <f>+F132*D132</f>
        <v>2449248759.2630358</v>
      </c>
      <c r="L132" s="59">
        <f t="shared" si="33"/>
        <v>2449656967.3895798</v>
      </c>
      <c r="M132" s="13">
        <f t="shared" si="34"/>
        <v>0</v>
      </c>
      <c r="N132" s="13">
        <f t="shared" si="35"/>
        <v>0</v>
      </c>
      <c r="O132" s="86">
        <f>SUM(O14:O131)</f>
        <v>1449248759.2630358</v>
      </c>
      <c r="P132" s="13">
        <v>166666.66666666666</v>
      </c>
      <c r="Q132" s="72">
        <f t="shared" si="37"/>
        <v>241541.45987717263</v>
      </c>
      <c r="R132" s="13">
        <f>VLOOKUP(A132,'IDI 18MARZO'!B:D,3,0)</f>
        <v>360.26</v>
      </c>
      <c r="S132" s="72">
        <f t="shared" si="38"/>
        <v>0</v>
      </c>
    </row>
    <row r="133" spans="1:19" x14ac:dyDescent="0.25">
      <c r="A133" s="96"/>
      <c r="B133" s="97"/>
      <c r="C133" s="98"/>
      <c r="D133" s="98"/>
      <c r="E133" s="99"/>
      <c r="F133" s="100"/>
      <c r="G133" s="101"/>
      <c r="H133" s="102"/>
      <c r="I133" s="103"/>
      <c r="J133" s="103"/>
      <c r="K133" s="103"/>
      <c r="L133" s="101"/>
      <c r="M133" s="98"/>
      <c r="N133" s="98"/>
      <c r="O133" s="104"/>
      <c r="P133" s="98"/>
      <c r="Q133" s="104"/>
      <c r="R133" s="98"/>
      <c r="S133" s="104"/>
    </row>
    <row r="134" spans="1:19" x14ac:dyDescent="0.25">
      <c r="A134" s="96"/>
      <c r="B134" s="97"/>
      <c r="C134" s="98"/>
      <c r="D134" s="98"/>
      <c r="E134" s="99"/>
      <c r="F134" s="100"/>
      <c r="G134" s="101"/>
      <c r="H134" s="102"/>
      <c r="I134" s="103"/>
      <c r="J134" s="103"/>
      <c r="K134" s="103"/>
      <c r="L134" s="101"/>
      <c r="M134" s="98"/>
      <c r="N134" s="98"/>
      <c r="O134" s="104"/>
      <c r="P134" s="98"/>
      <c r="Q134" s="104"/>
      <c r="R134" s="98"/>
      <c r="S134" s="104"/>
    </row>
    <row r="135" spans="1:19" x14ac:dyDescent="0.25">
      <c r="A135" s="96"/>
      <c r="B135" s="97"/>
      <c r="C135" s="98"/>
      <c r="D135" s="98"/>
      <c r="E135" s="99"/>
      <c r="F135" s="100"/>
      <c r="G135" s="101"/>
      <c r="H135" s="102"/>
      <c r="I135" s="103"/>
      <c r="J135" s="103"/>
      <c r="K135" s="103"/>
      <c r="L135" s="101"/>
      <c r="M135" s="98"/>
      <c r="N135" s="98"/>
      <c r="O135" s="104"/>
      <c r="P135" s="98"/>
      <c r="Q135" s="104"/>
      <c r="R135" s="98"/>
      <c r="S135" s="104"/>
    </row>
    <row r="136" spans="1:19" x14ac:dyDescent="0.25">
      <c r="A136" s="96"/>
      <c r="B136" s="97"/>
      <c r="C136" s="98"/>
      <c r="D136" s="98"/>
      <c r="E136" s="99"/>
      <c r="F136" s="100"/>
      <c r="G136" s="101"/>
      <c r="H136" s="102"/>
      <c r="I136" s="103"/>
      <c r="J136" s="103"/>
      <c r="K136" s="103"/>
      <c r="L136" s="101"/>
      <c r="M136" s="98"/>
      <c r="N136" s="98"/>
      <c r="O136" s="104"/>
      <c r="P136" s="98"/>
      <c r="Q136" s="104"/>
      <c r="R136" s="98"/>
      <c r="S136" s="104"/>
    </row>
    <row r="137" spans="1:19" x14ac:dyDescent="0.25">
      <c r="A137" s="96"/>
      <c r="B137" s="97"/>
      <c r="C137" s="98"/>
      <c r="D137" s="98"/>
      <c r="E137" s="99"/>
      <c r="F137" s="100"/>
      <c r="G137" s="101"/>
      <c r="H137" s="102"/>
      <c r="I137" s="103"/>
      <c r="J137" s="103"/>
      <c r="K137" s="103"/>
      <c r="L137" s="101"/>
      <c r="M137" s="98"/>
      <c r="N137" s="98"/>
      <c r="O137" s="104"/>
      <c r="P137" s="98"/>
      <c r="Q137" s="104"/>
      <c r="R137" s="98"/>
      <c r="S137" s="104"/>
    </row>
    <row r="138" spans="1:19" x14ac:dyDescent="0.25">
      <c r="A138" s="96"/>
      <c r="B138" s="97"/>
      <c r="C138" s="98"/>
      <c r="D138" s="98"/>
      <c r="E138" s="99"/>
      <c r="F138" s="100"/>
      <c r="G138" s="101"/>
      <c r="H138" s="102"/>
      <c r="I138" s="103"/>
      <c r="J138" s="103"/>
      <c r="K138" s="103"/>
      <c r="L138" s="101"/>
      <c r="M138" s="98"/>
      <c r="N138" s="98"/>
      <c r="O138" s="104"/>
      <c r="P138" s="98"/>
      <c r="Q138" s="104"/>
      <c r="R138" s="98"/>
      <c r="S138" s="104"/>
    </row>
    <row r="139" spans="1:19" x14ac:dyDescent="0.25">
      <c r="A139" s="96"/>
      <c r="B139" s="97"/>
      <c r="C139" s="98"/>
      <c r="D139" s="98"/>
      <c r="E139" s="99"/>
      <c r="F139" s="100"/>
      <c r="G139" s="101"/>
      <c r="H139" s="102"/>
      <c r="I139" s="103"/>
      <c r="J139" s="103"/>
      <c r="K139" s="103"/>
      <c r="L139" s="101"/>
      <c r="M139" s="98"/>
      <c r="N139" s="98"/>
      <c r="O139" s="104"/>
      <c r="P139" s="98"/>
      <c r="Q139" s="104"/>
      <c r="R139" s="98"/>
      <c r="S139" s="104"/>
    </row>
    <row r="140" spans="1:19" x14ac:dyDescent="0.25">
      <c r="A140" s="96"/>
      <c r="B140" s="97"/>
      <c r="C140" s="98"/>
      <c r="D140" s="98"/>
      <c r="E140" s="99"/>
      <c r="F140" s="100"/>
      <c r="G140" s="101"/>
      <c r="H140" s="102"/>
      <c r="I140" s="103"/>
      <c r="J140" s="103"/>
      <c r="K140" s="103"/>
      <c r="L140" s="101"/>
      <c r="M140" s="98"/>
      <c r="N140" s="98"/>
      <c r="O140" s="104"/>
      <c r="P140" s="98"/>
      <c r="Q140" s="104"/>
      <c r="R140" s="98"/>
      <c r="S140" s="104"/>
    </row>
    <row r="141" spans="1:19" x14ac:dyDescent="0.25">
      <c r="A141" s="96"/>
      <c r="B141" s="97"/>
      <c r="C141" s="98"/>
      <c r="D141" s="98"/>
      <c r="E141" s="99"/>
      <c r="F141" s="100"/>
      <c r="G141" s="101"/>
      <c r="H141" s="102"/>
      <c r="I141" s="103"/>
      <c r="J141" s="103"/>
      <c r="K141" s="103"/>
      <c r="L141" s="101"/>
      <c r="M141" s="98"/>
      <c r="N141" s="98"/>
      <c r="O141" s="104"/>
      <c r="P141" s="98"/>
      <c r="Q141" s="104"/>
      <c r="R141" s="98"/>
      <c r="S141" s="104"/>
    </row>
    <row r="142" spans="1:19" x14ac:dyDescent="0.25">
      <c r="A142" s="96"/>
      <c r="B142" s="97"/>
      <c r="C142" s="98"/>
      <c r="D142" s="98"/>
      <c r="E142" s="99"/>
      <c r="F142" s="100"/>
      <c r="G142" s="101"/>
      <c r="H142" s="102"/>
      <c r="I142" s="103"/>
      <c r="J142" s="103"/>
      <c r="K142" s="103"/>
      <c r="L142" s="101"/>
      <c r="M142" s="98"/>
      <c r="N142" s="98"/>
      <c r="O142" s="104"/>
      <c r="P142" s="98"/>
      <c r="Q142" s="104"/>
      <c r="R142" s="98"/>
      <c r="S142" s="104"/>
    </row>
    <row r="143" spans="1:19" x14ac:dyDescent="0.25">
      <c r="A143" s="96"/>
      <c r="B143" s="97"/>
      <c r="C143" s="98"/>
      <c r="D143" s="98"/>
      <c r="E143" s="99"/>
      <c r="F143" s="100"/>
      <c r="G143" s="101"/>
      <c r="H143" s="102"/>
      <c r="I143" s="103"/>
      <c r="J143" s="103"/>
      <c r="K143" s="103"/>
      <c r="L143" s="101"/>
      <c r="M143" s="98"/>
      <c r="N143" s="98"/>
      <c r="O143" s="104"/>
      <c r="P143" s="98"/>
      <c r="Q143" s="104"/>
      <c r="R143" s="98"/>
      <c r="S143" s="104"/>
    </row>
    <row r="144" spans="1:19" x14ac:dyDescent="0.25">
      <c r="A144" s="96"/>
      <c r="B144" s="97"/>
      <c r="C144" s="98"/>
      <c r="D144" s="98"/>
      <c r="E144" s="99"/>
      <c r="F144" s="100"/>
      <c r="G144" s="101"/>
      <c r="H144" s="102"/>
      <c r="I144" s="103"/>
      <c r="J144" s="103"/>
      <c r="K144" s="103"/>
      <c r="L144" s="101"/>
      <c r="M144" s="98"/>
      <c r="N144" s="98"/>
      <c r="O144" s="104"/>
      <c r="P144" s="98"/>
      <c r="Q144" s="104"/>
      <c r="R144" s="98"/>
      <c r="S144" s="104"/>
    </row>
    <row r="145" spans="1:19" x14ac:dyDescent="0.25">
      <c r="A145" s="96"/>
      <c r="B145" s="97"/>
      <c r="C145" s="98"/>
      <c r="D145" s="98"/>
      <c r="E145" s="99"/>
      <c r="F145" s="100"/>
      <c r="G145" s="101"/>
      <c r="H145" s="102"/>
      <c r="I145" s="103"/>
      <c r="J145" s="103"/>
      <c r="K145" s="103"/>
      <c r="L145" s="101"/>
      <c r="M145" s="98"/>
      <c r="N145" s="98"/>
      <c r="O145" s="104"/>
      <c r="P145" s="98"/>
      <c r="Q145" s="104"/>
      <c r="R145" s="98"/>
      <c r="S145" s="104"/>
    </row>
    <row r="146" spans="1:19" x14ac:dyDescent="0.25">
      <c r="A146" s="96"/>
      <c r="B146" s="97"/>
      <c r="C146" s="98"/>
      <c r="D146" s="98"/>
      <c r="E146" s="99"/>
      <c r="F146" s="100"/>
      <c r="G146" s="101"/>
      <c r="H146" s="102"/>
      <c r="I146" s="103"/>
      <c r="J146" s="103"/>
      <c r="K146" s="103"/>
      <c r="L146" s="101"/>
      <c r="M146" s="98"/>
      <c r="N146" s="98"/>
      <c r="O146" s="104"/>
      <c r="P146" s="98"/>
      <c r="Q146" s="104"/>
      <c r="R146" s="98"/>
      <c r="S146" s="104"/>
    </row>
    <row r="147" spans="1:19" x14ac:dyDescent="0.25">
      <c r="A147" s="96"/>
      <c r="B147" s="97"/>
      <c r="C147" s="98"/>
      <c r="D147" s="98"/>
      <c r="E147" s="99"/>
      <c r="F147" s="100"/>
      <c r="G147" s="101"/>
      <c r="H147" s="102"/>
      <c r="I147" s="103"/>
      <c r="J147" s="103"/>
      <c r="K147" s="103"/>
      <c r="L147" s="101"/>
      <c r="M147" s="98"/>
      <c r="N147" s="98"/>
      <c r="O147" s="104"/>
      <c r="P147" s="98"/>
      <c r="Q147" s="104"/>
      <c r="R147" s="98"/>
      <c r="S147" s="104"/>
    </row>
    <row r="148" spans="1:19" x14ac:dyDescent="0.25">
      <c r="A148" s="96"/>
      <c r="B148" s="97"/>
      <c r="C148" s="98"/>
      <c r="D148" s="98"/>
      <c r="E148" s="99"/>
      <c r="F148" s="100"/>
      <c r="G148" s="101"/>
      <c r="H148" s="102"/>
      <c r="I148" s="103"/>
      <c r="J148" s="103"/>
      <c r="K148" s="103"/>
      <c r="L148" s="101"/>
      <c r="M148" s="98"/>
      <c r="N148" s="98"/>
      <c r="O148" s="104"/>
      <c r="P148" s="98"/>
      <c r="Q148" s="104"/>
      <c r="R148" s="98"/>
      <c r="S148" s="104"/>
    </row>
    <row r="149" spans="1:19" x14ac:dyDescent="0.25">
      <c r="A149" s="96"/>
      <c r="B149" s="97"/>
      <c r="C149" s="98"/>
      <c r="D149" s="98"/>
      <c r="E149" s="99"/>
      <c r="F149" s="100"/>
      <c r="G149" s="101"/>
      <c r="H149" s="102"/>
      <c r="I149" s="103"/>
      <c r="J149" s="103"/>
      <c r="K149" s="103"/>
      <c r="L149" s="101"/>
      <c r="M149" s="98"/>
      <c r="N149" s="98"/>
      <c r="O149" s="104"/>
      <c r="P149" s="98"/>
      <c r="Q149" s="104"/>
      <c r="R149" s="98"/>
      <c r="S149" s="104"/>
    </row>
    <row r="150" spans="1:19" x14ac:dyDescent="0.25">
      <c r="A150" s="96"/>
      <c r="B150" s="97"/>
      <c r="C150" s="98"/>
      <c r="D150" s="98"/>
      <c r="E150" s="99"/>
      <c r="F150" s="100"/>
      <c r="G150" s="101"/>
      <c r="H150" s="102"/>
      <c r="I150" s="103"/>
      <c r="J150" s="103"/>
      <c r="K150" s="103"/>
      <c r="L150" s="101"/>
      <c r="M150" s="98"/>
      <c r="N150" s="98"/>
      <c r="O150" s="104"/>
      <c r="P150" s="98"/>
      <c r="Q150" s="104"/>
      <c r="R150" s="98"/>
      <c r="S150" s="104"/>
    </row>
    <row r="151" spans="1:19" x14ac:dyDescent="0.25">
      <c r="A151" s="96"/>
      <c r="B151" s="97"/>
      <c r="C151" s="98"/>
      <c r="D151" s="98"/>
      <c r="E151" s="99"/>
      <c r="F151" s="100"/>
      <c r="G151" s="101"/>
      <c r="H151" s="102"/>
      <c r="I151" s="103"/>
      <c r="J151" s="103"/>
      <c r="K151" s="103"/>
      <c r="L151" s="101"/>
      <c r="M151" s="98"/>
      <c r="N151" s="98"/>
      <c r="O151" s="104"/>
      <c r="P151" s="98"/>
      <c r="Q151" s="104"/>
      <c r="R151" s="98"/>
      <c r="S151" s="104"/>
    </row>
    <row r="152" spans="1:19" x14ac:dyDescent="0.25">
      <c r="A152" s="96"/>
      <c r="B152" s="97"/>
      <c r="C152" s="98"/>
      <c r="D152" s="98"/>
      <c r="E152" s="99"/>
      <c r="F152" s="100"/>
      <c r="G152" s="101"/>
      <c r="H152" s="102"/>
      <c r="I152" s="103"/>
      <c r="J152" s="103"/>
      <c r="K152" s="103"/>
      <c r="L152" s="101"/>
      <c r="M152" s="98"/>
      <c r="N152" s="98"/>
      <c r="O152" s="104"/>
      <c r="P152" s="98"/>
      <c r="Q152" s="104"/>
      <c r="R152" s="98"/>
      <c r="S152" s="104"/>
    </row>
    <row r="153" spans="1:19" x14ac:dyDescent="0.25">
      <c r="A153" s="96"/>
      <c r="B153" s="97"/>
      <c r="C153" s="98"/>
      <c r="D153" s="98"/>
      <c r="E153" s="99"/>
      <c r="F153" s="100"/>
      <c r="G153" s="101"/>
      <c r="H153" s="102"/>
      <c r="I153" s="103"/>
      <c r="J153" s="103"/>
      <c r="K153" s="103"/>
      <c r="L153" s="101"/>
      <c r="M153" s="98"/>
      <c r="N153" s="98"/>
      <c r="O153" s="104"/>
      <c r="P153" s="98"/>
      <c r="Q153" s="104"/>
      <c r="R153" s="98"/>
      <c r="S153" s="104"/>
    </row>
    <row r="154" spans="1:19" x14ac:dyDescent="0.25">
      <c r="A154" s="96"/>
      <c r="B154" s="97"/>
      <c r="C154" s="98"/>
      <c r="D154" s="98"/>
      <c r="E154" s="99"/>
      <c r="F154" s="100"/>
      <c r="G154" s="101"/>
      <c r="H154" s="102"/>
      <c r="I154" s="103"/>
      <c r="J154" s="103"/>
      <c r="K154" s="103"/>
      <c r="L154" s="101"/>
      <c r="M154" s="98"/>
      <c r="N154" s="98"/>
      <c r="O154" s="104"/>
      <c r="P154" s="98"/>
      <c r="Q154" s="104"/>
      <c r="R154" s="98"/>
      <c r="S154" s="104"/>
    </row>
    <row r="155" spans="1:19" x14ac:dyDescent="0.25">
      <c r="A155" s="96"/>
      <c r="B155" s="97"/>
      <c r="C155" s="98"/>
      <c r="D155" s="98"/>
      <c r="E155" s="99"/>
      <c r="F155" s="100"/>
      <c r="G155" s="101"/>
      <c r="H155" s="102"/>
      <c r="I155" s="103"/>
      <c r="J155" s="103"/>
      <c r="K155" s="103"/>
      <c r="L155" s="101"/>
      <c r="M155" s="98"/>
      <c r="N155" s="98"/>
      <c r="O155" s="104"/>
      <c r="P155" s="98"/>
      <c r="Q155" s="104"/>
      <c r="R155" s="98"/>
      <c r="S155" s="104"/>
    </row>
    <row r="156" spans="1:19" x14ac:dyDescent="0.25">
      <c r="A156" s="96"/>
      <c r="B156" s="97"/>
      <c r="C156" s="98"/>
      <c r="D156" s="98"/>
      <c r="E156" s="99"/>
      <c r="F156" s="100"/>
      <c r="G156" s="101"/>
      <c r="H156" s="102"/>
      <c r="I156" s="103"/>
      <c r="J156" s="103"/>
      <c r="K156" s="103"/>
      <c r="L156" s="101"/>
      <c r="M156" s="98"/>
      <c r="N156" s="98"/>
      <c r="O156" s="104"/>
      <c r="P156" s="98"/>
      <c r="Q156" s="104"/>
      <c r="R156" s="98"/>
      <c r="S156" s="104"/>
    </row>
    <row r="157" spans="1:19" x14ac:dyDescent="0.25">
      <c r="A157" s="96"/>
      <c r="B157" s="97"/>
      <c r="C157" s="98"/>
      <c r="D157" s="98"/>
      <c r="E157" s="99"/>
      <c r="F157" s="100"/>
      <c r="G157" s="101"/>
      <c r="H157" s="102"/>
      <c r="I157" s="103"/>
      <c r="J157" s="103"/>
      <c r="K157" s="103"/>
      <c r="L157" s="101"/>
      <c r="M157" s="98"/>
      <c r="N157" s="98"/>
      <c r="O157" s="104"/>
      <c r="P157" s="98"/>
      <c r="Q157" s="104"/>
      <c r="R157" s="98"/>
      <c r="S157" s="104"/>
    </row>
    <row r="158" spans="1:19" x14ac:dyDescent="0.25">
      <c r="A158" s="96"/>
      <c r="B158" s="97"/>
      <c r="C158" s="98"/>
      <c r="D158" s="98"/>
      <c r="E158" s="99"/>
      <c r="F158" s="100"/>
      <c r="G158" s="101"/>
      <c r="H158" s="102"/>
      <c r="I158" s="103"/>
      <c r="J158" s="103"/>
      <c r="K158" s="103"/>
      <c r="L158" s="101"/>
      <c r="M158" s="98"/>
      <c r="N158" s="98"/>
      <c r="O158" s="104"/>
      <c r="P158" s="98"/>
      <c r="Q158" s="104"/>
      <c r="R158" s="98"/>
      <c r="S158" s="104"/>
    </row>
    <row r="159" spans="1:19" x14ac:dyDescent="0.25">
      <c r="A159" s="96"/>
      <c r="B159" s="97"/>
      <c r="C159" s="98"/>
      <c r="D159" s="98"/>
      <c r="E159" s="99"/>
      <c r="F159" s="100"/>
      <c r="G159" s="101"/>
      <c r="H159" s="102"/>
      <c r="I159" s="103"/>
      <c r="J159" s="103"/>
      <c r="K159" s="103"/>
      <c r="L159" s="101"/>
      <c r="M159" s="98"/>
      <c r="N159" s="98"/>
      <c r="O159" s="104"/>
      <c r="P159" s="98"/>
      <c r="Q159" s="104"/>
      <c r="R159" s="98"/>
      <c r="S159" s="104"/>
    </row>
    <row r="160" spans="1:19" x14ac:dyDescent="0.25">
      <c r="A160" s="96"/>
      <c r="B160" s="97"/>
      <c r="C160" s="98"/>
      <c r="D160" s="98"/>
      <c r="E160" s="99"/>
      <c r="F160" s="100"/>
      <c r="G160" s="101"/>
      <c r="H160" s="102"/>
      <c r="I160" s="103"/>
      <c r="J160" s="103"/>
      <c r="K160" s="103"/>
      <c r="L160" s="101"/>
      <c r="M160" s="98"/>
      <c r="N160" s="98"/>
      <c r="O160" s="104"/>
      <c r="P160" s="98"/>
      <c r="Q160" s="104"/>
      <c r="R160" s="98"/>
      <c r="S160" s="104"/>
    </row>
    <row r="161" spans="1:19" x14ac:dyDescent="0.25">
      <c r="A161" s="96"/>
      <c r="B161" s="97"/>
      <c r="C161" s="98"/>
      <c r="D161" s="98"/>
      <c r="E161" s="99"/>
      <c r="F161" s="100"/>
      <c r="G161" s="101"/>
      <c r="H161" s="102"/>
      <c r="I161" s="103"/>
      <c r="J161" s="103"/>
      <c r="K161" s="103"/>
      <c r="L161" s="101"/>
      <c r="M161" s="98"/>
      <c r="N161" s="98"/>
      <c r="O161" s="104"/>
      <c r="P161" s="98"/>
      <c r="Q161" s="104"/>
      <c r="R161" s="98"/>
      <c r="S161" s="104"/>
    </row>
    <row r="162" spans="1:19" x14ac:dyDescent="0.25">
      <c r="A162" s="96"/>
      <c r="B162" s="97"/>
      <c r="C162" s="98"/>
      <c r="D162" s="98"/>
      <c r="E162" s="99"/>
      <c r="F162" s="100"/>
      <c r="G162" s="101"/>
      <c r="H162" s="102"/>
      <c r="I162" s="103"/>
      <c r="J162" s="103"/>
      <c r="K162" s="103"/>
      <c r="L162" s="101"/>
      <c r="M162" s="98"/>
      <c r="N162" s="98"/>
      <c r="O162" s="104"/>
      <c r="P162" s="98"/>
      <c r="Q162" s="104"/>
      <c r="R162" s="98"/>
      <c r="S162" s="104"/>
    </row>
    <row r="163" spans="1:19" x14ac:dyDescent="0.25">
      <c r="A163" s="96"/>
      <c r="B163" s="97"/>
      <c r="C163" s="98"/>
      <c r="D163" s="98"/>
      <c r="E163" s="99"/>
      <c r="F163" s="100"/>
      <c r="G163" s="101"/>
      <c r="H163" s="102"/>
      <c r="I163" s="103"/>
      <c r="J163" s="103"/>
      <c r="K163" s="103"/>
      <c r="L163" s="101"/>
      <c r="M163" s="98"/>
      <c r="N163" s="98"/>
      <c r="O163" s="104"/>
      <c r="P163" s="98"/>
      <c r="Q163" s="104"/>
      <c r="R163" s="98"/>
      <c r="S163" s="104"/>
    </row>
    <row r="164" spans="1:19" x14ac:dyDescent="0.25">
      <c r="A164" s="96"/>
      <c r="B164" s="97"/>
      <c r="C164" s="98"/>
      <c r="D164" s="98"/>
      <c r="E164" s="99"/>
      <c r="F164" s="100"/>
      <c r="G164" s="101"/>
      <c r="H164" s="102"/>
      <c r="I164" s="103"/>
      <c r="J164" s="103"/>
      <c r="K164" s="103"/>
      <c r="L164" s="101"/>
      <c r="M164" s="98"/>
      <c r="N164" s="98"/>
      <c r="O164" s="104"/>
      <c r="P164" s="98"/>
      <c r="Q164" s="104"/>
      <c r="R164" s="98"/>
      <c r="S164" s="104"/>
    </row>
    <row r="165" spans="1:19" x14ac:dyDescent="0.25">
      <c r="A165" s="96"/>
      <c r="B165" s="97"/>
      <c r="C165" s="98"/>
      <c r="D165" s="98"/>
      <c r="E165" s="99"/>
      <c r="F165" s="100"/>
      <c r="G165" s="101"/>
      <c r="H165" s="102"/>
      <c r="I165" s="103"/>
      <c r="J165" s="103"/>
      <c r="K165" s="103"/>
      <c r="L165" s="101"/>
      <c r="M165" s="98"/>
      <c r="N165" s="98"/>
      <c r="O165" s="104"/>
      <c r="P165" s="98"/>
      <c r="Q165" s="104"/>
      <c r="R165" s="98"/>
      <c r="S165" s="104"/>
    </row>
    <row r="166" spans="1:19" x14ac:dyDescent="0.25">
      <c r="A166" s="96"/>
      <c r="B166" s="97"/>
      <c r="C166" s="98"/>
      <c r="D166" s="98"/>
      <c r="E166" s="99"/>
      <c r="F166" s="100"/>
      <c r="G166" s="101"/>
      <c r="H166" s="102"/>
      <c r="I166" s="103"/>
      <c r="J166" s="103"/>
      <c r="K166" s="103"/>
      <c r="L166" s="101"/>
      <c r="M166" s="98"/>
      <c r="N166" s="98"/>
      <c r="O166" s="104"/>
      <c r="P166" s="98"/>
      <c r="Q166" s="104"/>
      <c r="R166" s="98"/>
      <c r="S166" s="104"/>
    </row>
    <row r="167" spans="1:19" x14ac:dyDescent="0.25">
      <c r="A167" s="96"/>
      <c r="B167" s="97"/>
      <c r="C167" s="98"/>
      <c r="D167" s="98"/>
      <c r="E167" s="99"/>
      <c r="F167" s="100"/>
      <c r="G167" s="101"/>
      <c r="H167" s="102"/>
      <c r="I167" s="103"/>
      <c r="J167" s="103"/>
      <c r="K167" s="103"/>
      <c r="L167" s="101"/>
      <c r="M167" s="98"/>
      <c r="N167" s="98"/>
      <c r="O167" s="104"/>
      <c r="P167" s="98"/>
      <c r="Q167" s="104"/>
      <c r="R167" s="98"/>
      <c r="S167" s="104"/>
    </row>
    <row r="168" spans="1:19" x14ac:dyDescent="0.25">
      <c r="A168" s="96"/>
      <c r="B168" s="97"/>
      <c r="C168" s="98"/>
      <c r="D168" s="98"/>
      <c r="E168" s="99"/>
      <c r="F168" s="100"/>
      <c r="G168" s="101"/>
      <c r="H168" s="102"/>
      <c r="I168" s="103"/>
      <c r="J168" s="103"/>
      <c r="K168" s="103"/>
      <c r="L168" s="101"/>
      <c r="M168" s="98"/>
      <c r="N168" s="98"/>
      <c r="O168" s="104"/>
      <c r="P168" s="98"/>
      <c r="Q168" s="104"/>
      <c r="R168" s="98"/>
      <c r="S168" s="104"/>
    </row>
    <row r="169" spans="1:19" x14ac:dyDescent="0.25">
      <c r="A169" s="96"/>
      <c r="B169" s="97"/>
      <c r="C169" s="98"/>
      <c r="D169" s="98"/>
      <c r="E169" s="99"/>
      <c r="F169" s="100"/>
      <c r="G169" s="101"/>
      <c r="H169" s="102"/>
      <c r="I169" s="103"/>
      <c r="J169" s="103"/>
      <c r="K169" s="103"/>
      <c r="L169" s="101"/>
      <c r="M169" s="98"/>
      <c r="N169" s="98"/>
      <c r="O169" s="104"/>
      <c r="P169" s="98"/>
      <c r="Q169" s="104"/>
      <c r="R169" s="98"/>
      <c r="S169" s="104"/>
    </row>
    <row r="170" spans="1:19" x14ac:dyDescent="0.25">
      <c r="A170" s="96"/>
      <c r="B170" s="97"/>
      <c r="C170" s="98"/>
      <c r="D170" s="98"/>
      <c r="E170" s="99"/>
      <c r="F170" s="100"/>
      <c r="G170" s="101"/>
      <c r="H170" s="102"/>
      <c r="I170" s="103"/>
      <c r="J170" s="103"/>
      <c r="K170" s="103"/>
      <c r="L170" s="101"/>
      <c r="M170" s="98"/>
      <c r="N170" s="98"/>
      <c r="O170" s="104"/>
      <c r="P170" s="98"/>
      <c r="Q170" s="104"/>
      <c r="R170" s="98"/>
      <c r="S170" s="104"/>
    </row>
    <row r="171" spans="1:19" x14ac:dyDescent="0.25">
      <c r="A171" s="96"/>
      <c r="B171" s="97"/>
      <c r="C171" s="98"/>
      <c r="D171" s="98"/>
      <c r="E171" s="99"/>
      <c r="F171" s="100"/>
      <c r="G171" s="101"/>
      <c r="H171" s="102"/>
      <c r="I171" s="103"/>
      <c r="J171" s="103"/>
      <c r="K171" s="103"/>
      <c r="L171" s="101"/>
      <c r="M171" s="98"/>
      <c r="N171" s="98"/>
      <c r="O171" s="104"/>
      <c r="P171" s="98"/>
      <c r="Q171" s="104"/>
      <c r="R171" s="98"/>
      <c r="S171" s="104"/>
    </row>
    <row r="172" spans="1:19" x14ac:dyDescent="0.25">
      <c r="A172" s="96"/>
      <c r="B172" s="97"/>
      <c r="C172" s="98"/>
      <c r="D172" s="98"/>
      <c r="E172" s="99"/>
      <c r="F172" s="100"/>
      <c r="G172" s="101"/>
      <c r="H172" s="102"/>
      <c r="I172" s="103"/>
      <c r="J172" s="103"/>
      <c r="K172" s="103"/>
      <c r="L172" s="101"/>
      <c r="M172" s="98"/>
      <c r="N172" s="98"/>
      <c r="O172" s="104"/>
      <c r="P172" s="98"/>
      <c r="Q172" s="104"/>
      <c r="R172" s="98"/>
      <c r="S172" s="104"/>
    </row>
    <row r="173" spans="1:19" x14ac:dyDescent="0.25">
      <c r="A173" s="96"/>
      <c r="B173" s="97"/>
      <c r="C173" s="98"/>
      <c r="D173" s="98"/>
      <c r="E173" s="99"/>
      <c r="F173" s="100"/>
      <c r="G173" s="101"/>
      <c r="H173" s="102"/>
      <c r="I173" s="103"/>
      <c r="J173" s="103"/>
      <c r="K173" s="103"/>
      <c r="L173" s="101"/>
      <c r="M173" s="98"/>
      <c r="N173" s="98"/>
      <c r="O173" s="104"/>
      <c r="P173" s="98"/>
      <c r="Q173" s="104"/>
      <c r="R173" s="98"/>
      <c r="S173" s="104"/>
    </row>
    <row r="174" spans="1:19" x14ac:dyDescent="0.25">
      <c r="A174" s="96"/>
      <c r="B174" s="97"/>
      <c r="C174" s="98"/>
      <c r="D174" s="98"/>
      <c r="E174" s="99"/>
      <c r="F174" s="100"/>
      <c r="G174" s="101"/>
      <c r="H174" s="102"/>
      <c r="I174" s="103"/>
      <c r="J174" s="103"/>
      <c r="K174" s="103"/>
      <c r="L174" s="101"/>
      <c r="M174" s="98"/>
      <c r="N174" s="98"/>
      <c r="O174" s="104"/>
      <c r="P174" s="98"/>
      <c r="Q174" s="104"/>
      <c r="R174" s="98"/>
      <c r="S174" s="104"/>
    </row>
    <row r="175" spans="1:19" x14ac:dyDescent="0.25">
      <c r="A175" s="96"/>
      <c r="B175" s="97"/>
      <c r="C175" s="98"/>
      <c r="D175" s="98"/>
      <c r="E175" s="99"/>
      <c r="F175" s="100"/>
      <c r="G175" s="101"/>
      <c r="H175" s="102"/>
      <c r="I175" s="103"/>
      <c r="J175" s="103"/>
      <c r="K175" s="103"/>
      <c r="L175" s="101"/>
      <c r="M175" s="98"/>
      <c r="N175" s="98"/>
      <c r="O175" s="104"/>
      <c r="P175" s="98"/>
      <c r="Q175" s="104"/>
      <c r="R175" s="98"/>
      <c r="S175" s="104"/>
    </row>
    <row r="176" spans="1:19" x14ac:dyDescent="0.25">
      <c r="A176" s="96"/>
      <c r="B176" s="97"/>
      <c r="C176" s="98"/>
      <c r="D176" s="98"/>
      <c r="E176" s="99"/>
      <c r="F176" s="100"/>
      <c r="G176" s="101"/>
      <c r="H176" s="102"/>
      <c r="I176" s="103"/>
      <c r="J176" s="103"/>
      <c r="K176" s="103"/>
      <c r="L176" s="101"/>
      <c r="M176" s="98"/>
      <c r="N176" s="98"/>
      <c r="O176" s="104"/>
      <c r="P176" s="98"/>
      <c r="Q176" s="104"/>
      <c r="R176" s="98"/>
      <c r="S176" s="104"/>
    </row>
    <row r="177" spans="1:19" x14ac:dyDescent="0.25">
      <c r="A177" s="96"/>
      <c r="B177" s="97"/>
      <c r="C177" s="98"/>
      <c r="D177" s="98"/>
      <c r="E177" s="99"/>
      <c r="F177" s="100"/>
      <c r="G177" s="101"/>
      <c r="H177" s="102"/>
      <c r="I177" s="103"/>
      <c r="J177" s="103"/>
      <c r="K177" s="103"/>
      <c r="L177" s="101"/>
      <c r="M177" s="98"/>
      <c r="N177" s="98"/>
      <c r="O177" s="104"/>
      <c r="P177" s="98"/>
      <c r="Q177" s="104"/>
      <c r="R177" s="98"/>
      <c r="S177" s="104"/>
    </row>
    <row r="178" spans="1:19" x14ac:dyDescent="0.25">
      <c r="A178" s="96"/>
      <c r="B178" s="97"/>
      <c r="C178" s="98"/>
      <c r="D178" s="98"/>
      <c r="E178" s="99"/>
      <c r="F178" s="100"/>
      <c r="G178" s="101"/>
      <c r="H178" s="102"/>
      <c r="I178" s="103"/>
      <c r="J178" s="103"/>
      <c r="K178" s="103"/>
      <c r="L178" s="101"/>
      <c r="M178" s="98"/>
      <c r="N178" s="98"/>
      <c r="O178" s="104"/>
      <c r="P178" s="98"/>
      <c r="Q178" s="104"/>
      <c r="R178" s="98"/>
      <c r="S178" s="104"/>
    </row>
    <row r="179" spans="1:19" x14ac:dyDescent="0.25">
      <c r="A179" s="96"/>
      <c r="B179" s="97"/>
      <c r="C179" s="98"/>
      <c r="D179" s="98"/>
      <c r="E179" s="99"/>
      <c r="F179" s="100"/>
      <c r="G179" s="101"/>
      <c r="H179" s="102"/>
      <c r="I179" s="103"/>
      <c r="J179" s="103"/>
      <c r="K179" s="103"/>
      <c r="L179" s="101"/>
      <c r="M179" s="98"/>
      <c r="N179" s="98"/>
      <c r="O179" s="104"/>
      <c r="P179" s="98"/>
      <c r="Q179" s="104"/>
      <c r="R179" s="98"/>
      <c r="S179" s="104"/>
    </row>
    <row r="180" spans="1:19" x14ac:dyDescent="0.25">
      <c r="A180" s="96"/>
      <c r="B180" s="97"/>
      <c r="C180" s="98"/>
      <c r="D180" s="98"/>
      <c r="E180" s="99"/>
      <c r="F180" s="100"/>
      <c r="G180" s="101"/>
      <c r="H180" s="102"/>
      <c r="I180" s="103"/>
      <c r="J180" s="103"/>
      <c r="K180" s="103"/>
      <c r="L180" s="101"/>
      <c r="M180" s="98"/>
      <c r="N180" s="98"/>
      <c r="O180" s="104"/>
      <c r="P180" s="98"/>
      <c r="Q180" s="104"/>
      <c r="R180" s="98"/>
      <c r="S180" s="104"/>
    </row>
    <row r="181" spans="1:19" x14ac:dyDescent="0.25">
      <c r="A181" s="96"/>
      <c r="B181" s="97"/>
      <c r="C181" s="98"/>
      <c r="D181" s="98"/>
      <c r="E181" s="99"/>
      <c r="F181" s="100"/>
      <c r="G181" s="101"/>
      <c r="H181" s="102"/>
      <c r="I181" s="103"/>
      <c r="J181" s="103"/>
      <c r="K181" s="103"/>
      <c r="L181" s="101"/>
      <c r="M181" s="98"/>
      <c r="N181" s="98"/>
      <c r="O181" s="104"/>
      <c r="P181" s="98"/>
      <c r="Q181" s="104"/>
      <c r="R181" s="98"/>
      <c r="S181" s="104"/>
    </row>
    <row r="182" spans="1:19" x14ac:dyDescent="0.25">
      <c r="A182" s="96"/>
      <c r="B182" s="97"/>
      <c r="C182" s="98"/>
      <c r="D182" s="98"/>
      <c r="E182" s="99"/>
      <c r="F182" s="100"/>
      <c r="G182" s="101"/>
      <c r="H182" s="102"/>
      <c r="I182" s="103"/>
      <c r="J182" s="103"/>
      <c r="K182" s="103"/>
      <c r="L182" s="101"/>
      <c r="M182" s="98"/>
      <c r="N182" s="98"/>
      <c r="O182" s="104"/>
      <c r="P182" s="98"/>
      <c r="Q182" s="104"/>
      <c r="R182" s="98"/>
      <c r="S182" s="104"/>
    </row>
    <row r="183" spans="1:19" x14ac:dyDescent="0.25">
      <c r="A183" s="96"/>
      <c r="B183" s="97"/>
      <c r="C183" s="98"/>
      <c r="D183" s="98"/>
      <c r="E183" s="99"/>
      <c r="F183" s="100"/>
      <c r="G183" s="101"/>
      <c r="H183" s="102"/>
      <c r="I183" s="103"/>
      <c r="J183" s="103"/>
      <c r="K183" s="103"/>
      <c r="L183" s="101"/>
      <c r="M183" s="98"/>
      <c r="N183" s="98"/>
      <c r="O183" s="104"/>
      <c r="P183" s="98"/>
      <c r="Q183" s="104"/>
      <c r="R183" s="98"/>
      <c r="S183" s="104"/>
    </row>
    <row r="184" spans="1:19" x14ac:dyDescent="0.25">
      <c r="A184" s="96"/>
      <c r="B184" s="97"/>
      <c r="C184" s="98"/>
      <c r="D184" s="98"/>
      <c r="E184" s="99"/>
      <c r="F184" s="100"/>
      <c r="G184" s="101"/>
      <c r="H184" s="102"/>
      <c r="I184" s="103"/>
      <c r="J184" s="103"/>
      <c r="K184" s="103"/>
      <c r="L184" s="101"/>
      <c r="M184" s="98"/>
      <c r="N184" s="98"/>
      <c r="O184" s="104"/>
      <c r="P184" s="98"/>
      <c r="Q184" s="104"/>
      <c r="R184" s="98"/>
      <c r="S184" s="104"/>
    </row>
    <row r="185" spans="1:19" x14ac:dyDescent="0.25">
      <c r="A185" s="96"/>
      <c r="B185" s="97"/>
      <c r="C185" s="98"/>
      <c r="D185" s="98"/>
      <c r="E185" s="99"/>
      <c r="F185" s="100"/>
      <c r="G185" s="101"/>
      <c r="H185" s="102"/>
      <c r="I185" s="103"/>
      <c r="J185" s="103"/>
      <c r="K185" s="103"/>
      <c r="L185" s="101"/>
      <c r="M185" s="98"/>
      <c r="N185" s="98"/>
      <c r="O185" s="104"/>
      <c r="P185" s="98"/>
      <c r="Q185" s="104"/>
      <c r="R185" s="98"/>
      <c r="S185" s="104"/>
    </row>
    <row r="186" spans="1:19" x14ac:dyDescent="0.25">
      <c r="A186" s="96"/>
      <c r="B186" s="97"/>
      <c r="C186" s="98"/>
      <c r="D186" s="98"/>
      <c r="E186" s="99"/>
      <c r="F186" s="100"/>
      <c r="G186" s="101"/>
      <c r="H186" s="102"/>
      <c r="I186" s="103"/>
      <c r="J186" s="103"/>
      <c r="K186" s="103"/>
      <c r="L186" s="101"/>
      <c r="M186" s="98"/>
      <c r="N186" s="98"/>
      <c r="O186" s="104"/>
      <c r="P186" s="98"/>
      <c r="Q186" s="104"/>
      <c r="R186" s="98"/>
      <c r="S186" s="104"/>
    </row>
    <row r="187" spans="1:19" x14ac:dyDescent="0.25">
      <c r="A187" s="96"/>
      <c r="B187" s="97"/>
      <c r="C187" s="98"/>
      <c r="D187" s="98"/>
      <c r="E187" s="99"/>
      <c r="F187" s="100"/>
      <c r="G187" s="101"/>
      <c r="H187" s="102"/>
      <c r="I187" s="103"/>
      <c r="J187" s="103"/>
      <c r="K187" s="103"/>
      <c r="L187" s="101"/>
      <c r="M187" s="98"/>
      <c r="N187" s="98"/>
      <c r="O187" s="104"/>
      <c r="P187" s="98"/>
      <c r="Q187" s="104"/>
      <c r="R187" s="98"/>
      <c r="S187" s="104"/>
    </row>
    <row r="188" spans="1:19" x14ac:dyDescent="0.25">
      <c r="A188" s="96"/>
      <c r="B188" s="97"/>
      <c r="C188" s="98"/>
      <c r="D188" s="98"/>
      <c r="E188" s="99"/>
      <c r="F188" s="100"/>
      <c r="G188" s="101"/>
      <c r="H188" s="102"/>
      <c r="I188" s="103"/>
      <c r="J188" s="103"/>
      <c r="K188" s="103"/>
      <c r="L188" s="101"/>
      <c r="M188" s="98"/>
      <c r="N188" s="98"/>
      <c r="O188" s="104"/>
      <c r="P188" s="98"/>
      <c r="Q188" s="104"/>
      <c r="R188" s="98"/>
      <c r="S188" s="104"/>
    </row>
    <row r="189" spans="1:19" x14ac:dyDescent="0.25">
      <c r="A189" s="96"/>
      <c r="B189" s="97"/>
      <c r="C189" s="98"/>
      <c r="D189" s="98"/>
      <c r="E189" s="99"/>
      <c r="F189" s="100"/>
      <c r="G189" s="101"/>
      <c r="H189" s="102"/>
      <c r="I189" s="103"/>
      <c r="J189" s="103"/>
      <c r="K189" s="103"/>
      <c r="L189" s="101"/>
      <c r="M189" s="98"/>
      <c r="N189" s="98"/>
      <c r="O189" s="104"/>
      <c r="P189" s="98"/>
      <c r="Q189" s="104"/>
      <c r="R189" s="98"/>
      <c r="S189" s="104"/>
    </row>
    <row r="190" spans="1:19" x14ac:dyDescent="0.25">
      <c r="A190" s="96"/>
      <c r="B190" s="97"/>
      <c r="C190" s="98"/>
      <c r="D190" s="98"/>
      <c r="E190" s="99"/>
      <c r="F190" s="100"/>
      <c r="G190" s="101"/>
      <c r="H190" s="102"/>
      <c r="I190" s="103"/>
      <c r="J190" s="103"/>
      <c r="K190" s="103"/>
      <c r="L190" s="101"/>
      <c r="M190" s="98"/>
      <c r="N190" s="98"/>
      <c r="O190" s="104"/>
      <c r="P190" s="98"/>
      <c r="Q190" s="104"/>
      <c r="R190" s="98"/>
      <c r="S190" s="104"/>
    </row>
    <row r="191" spans="1:19" x14ac:dyDescent="0.25">
      <c r="A191" s="96"/>
      <c r="B191" s="97"/>
      <c r="C191" s="98"/>
      <c r="D191" s="98"/>
      <c r="E191" s="99"/>
      <c r="F191" s="100"/>
      <c r="G191" s="101"/>
      <c r="H191" s="102"/>
      <c r="I191" s="103"/>
      <c r="J191" s="103"/>
      <c r="K191" s="103"/>
      <c r="L191" s="101"/>
      <c r="M191" s="98"/>
      <c r="N191" s="98"/>
      <c r="O191" s="104"/>
      <c r="P191" s="98"/>
      <c r="Q191" s="104"/>
      <c r="R191" s="98"/>
      <c r="S191" s="104"/>
    </row>
  </sheetData>
  <protectedRanges>
    <protectedRange algorithmName="SHA-512" hashValue="lkqnabdWSkUhYMXrmw2QUM+rmOxAqJ5cKCzs3hZtxpSfsVFBk0g5xnNhWV31EaCC70wS2gYPepF6I1QT1bdvlA==" saltValue="65+P8vBLRrVImGLmHbAF+A==" spinCount="100000" sqref="A1:D9" name="Rango2"/>
  </protectedRanges>
  <mergeCells count="3">
    <mergeCell ref="E10:G10"/>
    <mergeCell ref="H10:L10"/>
    <mergeCell ref="I11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ejercicio inyección</vt:lpstr>
      <vt:lpstr>IDI 18MARZO</vt:lpstr>
      <vt:lpstr>Tabla</vt:lpstr>
      <vt:lpstr> 30 dias (3)</vt:lpstr>
      <vt:lpstr> 30 dias (2)</vt:lpstr>
      <vt:lpstr>30 dias </vt:lpstr>
      <vt:lpstr> 90 dias (3)</vt:lpstr>
      <vt:lpstr>120 dias </vt:lpstr>
    </vt:vector>
  </TitlesOfParts>
  <Company>Banco Central de Venezuela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LP400123</dc:creator>
  <cp:lastModifiedBy>Edgar Sandoval</cp:lastModifiedBy>
  <dcterms:created xsi:type="dcterms:W3CDTF">2019-09-10T13:54:49Z</dcterms:created>
  <dcterms:modified xsi:type="dcterms:W3CDTF">2020-03-23T18:17:30Z</dcterms:modified>
</cp:coreProperties>
</file>